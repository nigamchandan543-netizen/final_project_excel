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aw Data" sheetId="1" state="visible" r:id="rId3"/>
    <sheet name="Analysis" sheetId="2" state="visible" r:id="rId4"/>
    <sheet name="Visualizations" sheetId="3" state="visible" r:id="rId5"/>
    <sheet name="Dashboard" sheetId="4" state="visible" r:id="rId6"/>
    <sheet name="Final Report" sheetId="5" state="visible" r:id="rId7"/>
    <sheet name="Checklist"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<sst xmlns="http://schemas.openxmlformats.org/spreadsheetml/2006/main" count="1449" uniqueCount="487">
  <si>
    <t xml:space="preserve">CUSTOMER TRANSACTION RAW DATA</t>
  </si>
  <si>
    <t xml:space="preserve">Source: Simulated Retail Transactions | Period: Apr 2024 – Sep 2025 | Generated for PR Final Project</t>
  </si>
  <si>
    <t xml:space="preserve">TransactionID</t>
  </si>
  <si>
    <t xml:space="preserve">Date</t>
  </si>
  <si>
    <t xml:space="preserve">CustomerID</t>
  </si>
  <si>
    <t xml:space="preserve">CustomerName</t>
  </si>
  <si>
    <t xml:space="preserve">Product</t>
  </si>
  <si>
    <t xml:space="preserve">Category</t>
  </si>
  <si>
    <t xml:space="preserve">Quantity</t>
  </si>
  <si>
    <t xml:space="preserve">UnitPrice</t>
  </si>
  <si>
    <t xml:space="preserve">Region</t>
  </si>
  <si>
    <t xml:space="preserve">Revenue</t>
  </si>
  <si>
    <t xml:space="preserve">TX0080</t>
  </si>
  <si>
    <t xml:space="preserve">C013</t>
  </si>
  <si>
    <t xml:space="preserve">Mia White</t>
  </si>
  <si>
    <t xml:space="preserve">Water Bottle Insulated</t>
  </si>
  <si>
    <t xml:space="preserve">Fitness</t>
  </si>
  <si>
    <t xml:space="preserve">East</t>
  </si>
  <si>
    <t xml:space="preserve">TX0023</t>
  </si>
  <si>
    <t xml:space="preserve">C006</t>
  </si>
  <si>
    <t xml:space="preserve">Frank Miller</t>
  </si>
  <si>
    <t xml:space="preserve">Yoga Mat Premium</t>
  </si>
  <si>
    <t xml:space="preserve">Central</t>
  </si>
  <si>
    <t xml:space="preserve">TX0033</t>
  </si>
  <si>
    <t xml:space="preserve">C019</t>
  </si>
  <si>
    <t xml:space="preserve">Sam Robinson</t>
  </si>
  <si>
    <t xml:space="preserve">Desk Lamp LED</t>
  </si>
  <si>
    <t xml:space="preserve">Furniture</t>
  </si>
  <si>
    <t xml:space="preserve">North</t>
  </si>
  <si>
    <t xml:space="preserve">TX0061</t>
  </si>
  <si>
    <t xml:space="preserve">C014</t>
  </si>
  <si>
    <t xml:space="preserve">Noah Harris</t>
  </si>
  <si>
    <t xml:space="preserve">TX0123</t>
  </si>
  <si>
    <t xml:space="preserve">C009</t>
  </si>
  <si>
    <t xml:space="preserve">Ivy Taylor</t>
  </si>
  <si>
    <t xml:space="preserve">South</t>
  </si>
  <si>
    <t xml:space="preserve">TX0098</t>
  </si>
  <si>
    <t xml:space="preserve">C025</t>
  </si>
  <si>
    <t xml:space="preserve">Yara Hall</t>
  </si>
  <si>
    <t xml:space="preserve">Backpack Travel</t>
  </si>
  <si>
    <t xml:space="preserve">Accessories</t>
  </si>
  <si>
    <t xml:space="preserve">West</t>
  </si>
  <si>
    <t xml:space="preserve">TX0001</t>
  </si>
  <si>
    <t xml:space="preserve">C021</t>
  </si>
  <si>
    <t xml:space="preserve">Uma Rodriguez</t>
  </si>
  <si>
    <t xml:space="preserve">Mechanical Keyboard</t>
  </si>
  <si>
    <t xml:space="preserve">Electronics</t>
  </si>
  <si>
    <t xml:space="preserve">TX0103</t>
  </si>
  <si>
    <t xml:space="preserve">TX0176</t>
  </si>
  <si>
    <t xml:space="preserve">C023</t>
  </si>
  <si>
    <t xml:space="preserve">Wendy Lee</t>
  </si>
  <si>
    <t xml:space="preserve">Ballpoint Pens (12pk)</t>
  </si>
  <si>
    <t xml:space="preserve">Stationery</t>
  </si>
  <si>
    <t xml:space="preserve">TX0108</t>
  </si>
  <si>
    <t xml:space="preserve">Wireless Mouse</t>
  </si>
  <si>
    <t xml:space="preserve">TX0062</t>
  </si>
  <si>
    <t xml:space="preserve">4K Monitor 27"</t>
  </si>
  <si>
    <t xml:space="preserve">TX0154</t>
  </si>
  <si>
    <t xml:space="preserve">C010</t>
  </si>
  <si>
    <t xml:space="preserve">Jack Anderson</t>
  </si>
  <si>
    <t xml:space="preserve">Blender Pro</t>
  </si>
  <si>
    <t xml:space="preserve">Appliances</t>
  </si>
  <si>
    <t xml:space="preserve">TX0148</t>
  </si>
  <si>
    <t xml:space="preserve">C003</t>
  </si>
  <si>
    <t xml:space="preserve">Carol Williams</t>
  </si>
  <si>
    <t xml:space="preserve">Phone Case Premium</t>
  </si>
  <si>
    <t xml:space="preserve">TX0150</t>
  </si>
  <si>
    <t xml:space="preserve">Notebook Set</t>
  </si>
  <si>
    <t xml:space="preserve">TX0063</t>
  </si>
  <si>
    <t xml:space="preserve">TX0114</t>
  </si>
  <si>
    <t xml:space="preserve">C026</t>
  </si>
  <si>
    <t xml:space="preserve">Zane Allen</t>
  </si>
  <si>
    <t xml:space="preserve">TX0104</t>
  </si>
  <si>
    <t xml:space="preserve">C015</t>
  </si>
  <si>
    <t xml:space="preserve">Olivia Martin</t>
  </si>
  <si>
    <t xml:space="preserve">Office Chair Ergonomic</t>
  </si>
  <si>
    <t xml:space="preserve">TX0136</t>
  </si>
  <si>
    <t xml:space="preserve">TX0046</t>
  </si>
  <si>
    <t xml:space="preserve">C002</t>
  </si>
  <si>
    <t xml:space="preserve">Bob Smith</t>
  </si>
  <si>
    <t xml:space="preserve">TX0097</t>
  </si>
  <si>
    <t xml:space="preserve">Air Fryer 5L</t>
  </si>
  <si>
    <t xml:space="preserve">TX0020</t>
  </si>
  <si>
    <t xml:space="preserve">TX0096</t>
  </si>
  <si>
    <t xml:space="preserve">C005</t>
  </si>
  <si>
    <t xml:space="preserve">Emma Davis</t>
  </si>
  <si>
    <t xml:space="preserve">Standing Desk</t>
  </si>
  <si>
    <t xml:space="preserve">TX0048</t>
  </si>
  <si>
    <t xml:space="preserve">TX0174</t>
  </si>
  <si>
    <t xml:space="preserve">TX0085</t>
  </si>
  <si>
    <t xml:space="preserve">C016</t>
  </si>
  <si>
    <t xml:space="preserve">Paul Thompson</t>
  </si>
  <si>
    <t xml:space="preserve">TX0008</t>
  </si>
  <si>
    <t xml:space="preserve">C030</t>
  </si>
  <si>
    <t xml:space="preserve">Derek Scott</t>
  </si>
  <si>
    <t xml:space="preserve">TX0027</t>
  </si>
  <si>
    <t xml:space="preserve">C029</t>
  </si>
  <si>
    <t xml:space="preserve">Chloe Wright</t>
  </si>
  <si>
    <t xml:space="preserve">TX0010</t>
  </si>
  <si>
    <t xml:space="preserve">TX0050</t>
  </si>
  <si>
    <t xml:space="preserve">TX0002</t>
  </si>
  <si>
    <t xml:space="preserve">C024</t>
  </si>
  <si>
    <t xml:space="preserve">Xander Walker</t>
  </si>
  <si>
    <t xml:space="preserve">TX0059</t>
  </si>
  <si>
    <t xml:space="preserve">TX0042</t>
  </si>
  <si>
    <t xml:space="preserve">C018</t>
  </si>
  <si>
    <t xml:space="preserve">Rachel Martinez</t>
  </si>
  <si>
    <t xml:space="preserve">Laptop Pro 15</t>
  </si>
  <si>
    <t xml:space="preserve">TX0160</t>
  </si>
  <si>
    <t xml:space="preserve">TX0037</t>
  </si>
  <si>
    <t xml:space="preserve">C007</t>
  </si>
  <si>
    <t xml:space="preserve">Grace Wilson</t>
  </si>
  <si>
    <t xml:space="preserve">TX0038</t>
  </si>
  <si>
    <t xml:space="preserve">TX0053</t>
  </si>
  <si>
    <t xml:space="preserve">C020</t>
  </si>
  <si>
    <t xml:space="preserve">Tina Clark</t>
  </si>
  <si>
    <t xml:space="preserve">TX0170</t>
  </si>
  <si>
    <t xml:space="preserve">C028</t>
  </si>
  <si>
    <t xml:space="preserve">Brian King</t>
  </si>
  <si>
    <t xml:space="preserve">TX0006</t>
  </si>
  <si>
    <t xml:space="preserve">Highlighter Pack</t>
  </si>
  <si>
    <t xml:space="preserve">TX0113</t>
  </si>
  <si>
    <t xml:space="preserve">TX0116</t>
  </si>
  <si>
    <t xml:space="preserve">C027</t>
  </si>
  <si>
    <t xml:space="preserve">Amy Young</t>
  </si>
  <si>
    <t xml:space="preserve">Dumbbell Set 20kg</t>
  </si>
  <si>
    <t xml:space="preserve">TX0087</t>
  </si>
  <si>
    <t xml:space="preserve">TX0019</t>
  </si>
  <si>
    <t xml:space="preserve">TX0049</t>
  </si>
  <si>
    <t xml:space="preserve">C008</t>
  </si>
  <si>
    <t xml:space="preserve">Henry Moore</t>
  </si>
  <si>
    <t xml:space="preserve">TX0129</t>
  </si>
  <si>
    <t xml:space="preserve">TX0028</t>
  </si>
  <si>
    <t xml:space="preserve">TX0132</t>
  </si>
  <si>
    <t xml:space="preserve">C001</t>
  </si>
  <si>
    <t xml:space="preserve">Alice Johnson</t>
  </si>
  <si>
    <t xml:space="preserve">TX0133</t>
  </si>
  <si>
    <t xml:space="preserve">TX0102</t>
  </si>
  <si>
    <t xml:space="preserve">TX0095</t>
  </si>
  <si>
    <t xml:space="preserve">USB-C Hub</t>
  </si>
  <si>
    <t xml:space="preserve">TX0016</t>
  </si>
  <si>
    <t xml:space="preserve">TX0084</t>
  </si>
  <si>
    <t xml:space="preserve">TX0117</t>
  </si>
  <si>
    <t xml:space="preserve">TX0171</t>
  </si>
  <si>
    <t xml:space="preserve">TX0057</t>
  </si>
  <si>
    <t xml:space="preserve">TX0005</t>
  </si>
  <si>
    <t xml:space="preserve">TX0153</t>
  </si>
  <si>
    <t xml:space="preserve">C022</t>
  </si>
  <si>
    <t xml:space="preserve">Victor Lewis</t>
  </si>
  <si>
    <t xml:space="preserve">TX0011</t>
  </si>
  <si>
    <t xml:space="preserve">Coffee Maker Deluxe</t>
  </si>
  <si>
    <t xml:space="preserve">TX0111</t>
  </si>
  <si>
    <t xml:space="preserve">TX0012</t>
  </si>
  <si>
    <t xml:space="preserve">TX0141</t>
  </si>
  <si>
    <t xml:space="preserve">TX0066</t>
  </si>
  <si>
    <t xml:space="preserve">TX0178</t>
  </si>
  <si>
    <t xml:space="preserve">TX0151</t>
  </si>
  <si>
    <t xml:space="preserve">TX0040</t>
  </si>
  <si>
    <t xml:space="preserve">TX0075</t>
  </si>
  <si>
    <t xml:space="preserve">TX0009</t>
  </si>
  <si>
    <t xml:space="preserve">TX0076</t>
  </si>
  <si>
    <t xml:space="preserve">Resistance Bands</t>
  </si>
  <si>
    <t xml:space="preserve">TX0144</t>
  </si>
  <si>
    <t xml:space="preserve">TX0030</t>
  </si>
  <si>
    <t xml:space="preserve">TX0058</t>
  </si>
  <si>
    <t xml:space="preserve">TX0051</t>
  </si>
  <si>
    <t xml:space="preserve">C011</t>
  </si>
  <si>
    <t xml:space="preserve">Karen Thomas</t>
  </si>
  <si>
    <t xml:space="preserve">TX0140</t>
  </si>
  <si>
    <t xml:space="preserve">TX0015</t>
  </si>
  <si>
    <t xml:space="preserve">TX0035</t>
  </si>
  <si>
    <t xml:space="preserve">TX0013</t>
  </si>
  <si>
    <t xml:space="preserve">TX0018</t>
  </si>
  <si>
    <t xml:space="preserve">TX0100</t>
  </si>
  <si>
    <t xml:space="preserve">TX0138</t>
  </si>
  <si>
    <t xml:space="preserve">TX0149</t>
  </si>
  <si>
    <t xml:space="preserve">TX0003</t>
  </si>
  <si>
    <t xml:space="preserve">TX0094</t>
  </si>
  <si>
    <t xml:space="preserve">TX0109</t>
  </si>
  <si>
    <t xml:space="preserve">TX0159</t>
  </si>
  <si>
    <t xml:space="preserve">TX0179</t>
  </si>
  <si>
    <t xml:space="preserve">TX0039</t>
  </si>
  <si>
    <t xml:space="preserve">TX0137</t>
  </si>
  <si>
    <t xml:space="preserve">TX0021</t>
  </si>
  <si>
    <t xml:space="preserve">TX0106</t>
  </si>
  <si>
    <t xml:space="preserve">TX0060</t>
  </si>
  <si>
    <t xml:space="preserve">TX0017</t>
  </si>
  <si>
    <t xml:space="preserve">TX0007</t>
  </si>
  <si>
    <t xml:space="preserve">TX0073</t>
  </si>
  <si>
    <t xml:space="preserve">TX0145</t>
  </si>
  <si>
    <t xml:space="preserve">TX0022</t>
  </si>
  <si>
    <t xml:space="preserve">C004</t>
  </si>
  <si>
    <t xml:space="preserve">David Brown</t>
  </si>
  <si>
    <t xml:space="preserve">TX0147</t>
  </si>
  <si>
    <t xml:space="preserve">TX0130</t>
  </si>
  <si>
    <t xml:space="preserve">TX0146</t>
  </si>
  <si>
    <t xml:space="preserve">TX0131</t>
  </si>
  <si>
    <t xml:space="preserve">TX0024</t>
  </si>
  <si>
    <t xml:space="preserve">C017</t>
  </si>
  <si>
    <t xml:space="preserve">Quinn Garcia</t>
  </si>
  <si>
    <t xml:space="preserve">TX0056</t>
  </si>
  <si>
    <t xml:space="preserve">TX0055</t>
  </si>
  <si>
    <t xml:space="preserve">TX0126</t>
  </si>
  <si>
    <t xml:space="preserve">TX0128</t>
  </si>
  <si>
    <t xml:space="preserve">TX0077</t>
  </si>
  <si>
    <t xml:space="preserve">TX0090</t>
  </si>
  <si>
    <t xml:space="preserve">TX0081</t>
  </si>
  <si>
    <t xml:space="preserve">TX0119</t>
  </si>
  <si>
    <t xml:space="preserve">TX0078</t>
  </si>
  <si>
    <t xml:space="preserve">TX0034</t>
  </si>
  <si>
    <t xml:space="preserve">TX0072</t>
  </si>
  <si>
    <t xml:space="preserve">TX0083</t>
  </si>
  <si>
    <t xml:space="preserve">TX0105</t>
  </si>
  <si>
    <t xml:space="preserve">TX0032</t>
  </si>
  <si>
    <t xml:space="preserve">TX0122</t>
  </si>
  <si>
    <t xml:space="preserve">C012</t>
  </si>
  <si>
    <t xml:space="preserve">Liam Jackson</t>
  </si>
  <si>
    <t xml:space="preserve">TX0164</t>
  </si>
  <si>
    <t xml:space="preserve">TX0054</t>
  </si>
  <si>
    <t xml:space="preserve">TX0069</t>
  </si>
  <si>
    <t xml:space="preserve">TX0107</t>
  </si>
  <si>
    <t xml:space="preserve">TX0071</t>
  </si>
  <si>
    <t xml:space="preserve">TX0064</t>
  </si>
  <si>
    <t xml:space="preserve">TX0026</t>
  </si>
  <si>
    <t xml:space="preserve">TX0177</t>
  </si>
  <si>
    <t xml:space="preserve">TX0112</t>
  </si>
  <si>
    <t xml:space="preserve">TX0166</t>
  </si>
  <si>
    <t xml:space="preserve">TX0079</t>
  </si>
  <si>
    <t xml:space="preserve">TX0173</t>
  </si>
  <si>
    <t xml:space="preserve">TX0168</t>
  </si>
  <si>
    <t xml:space="preserve">TX0068</t>
  </si>
  <si>
    <t xml:space="preserve">TX0167</t>
  </si>
  <si>
    <t xml:space="preserve">TX0086</t>
  </si>
  <si>
    <t xml:space="preserve">TX0101</t>
  </si>
  <si>
    <t xml:space="preserve">TX0099</t>
  </si>
  <si>
    <t xml:space="preserve">TX0172</t>
  </si>
  <si>
    <t xml:space="preserve">TX0070</t>
  </si>
  <si>
    <t xml:space="preserve">TX0014</t>
  </si>
  <si>
    <t xml:space="preserve">TX0043</t>
  </si>
  <si>
    <t xml:space="preserve">TX0155</t>
  </si>
  <si>
    <t xml:space="preserve">TX0065</t>
  </si>
  <si>
    <t xml:space="preserve">TX0067</t>
  </si>
  <si>
    <t xml:space="preserve">TX0156</t>
  </si>
  <si>
    <t xml:space="preserve">TX0004</t>
  </si>
  <si>
    <t xml:space="preserve">TX0127</t>
  </si>
  <si>
    <t xml:space="preserve">TX0091</t>
  </si>
  <si>
    <t xml:space="preserve">TX0139</t>
  </si>
  <si>
    <t xml:space="preserve">TX0175</t>
  </si>
  <si>
    <t xml:space="preserve">TX0074</t>
  </si>
  <si>
    <t xml:space="preserve">TX0031</t>
  </si>
  <si>
    <t xml:space="preserve">TX0158</t>
  </si>
  <si>
    <t xml:space="preserve">TX0157</t>
  </si>
  <si>
    <t xml:space="preserve">TX0041</t>
  </si>
  <si>
    <t xml:space="preserve">TX0125</t>
  </si>
  <si>
    <t xml:space="preserve">TX0092</t>
  </si>
  <si>
    <t xml:space="preserve">TX0143</t>
  </si>
  <si>
    <t xml:space="preserve">TX0044</t>
  </si>
  <si>
    <t xml:space="preserve">TX0089</t>
  </si>
  <si>
    <t xml:space="preserve">TX0052</t>
  </si>
  <si>
    <t xml:space="preserve">TX0180</t>
  </si>
  <si>
    <t xml:space="preserve">TX0088</t>
  </si>
  <si>
    <t xml:space="preserve">TX0120</t>
  </si>
  <si>
    <t xml:space="preserve">TX0110</t>
  </si>
  <si>
    <t xml:space="preserve">TX0134</t>
  </si>
  <si>
    <t xml:space="preserve">TX0142</t>
  </si>
  <si>
    <t xml:space="preserve">TX0152</t>
  </si>
  <si>
    <t xml:space="preserve">TX0162</t>
  </si>
  <si>
    <t xml:space="preserve">TX0036</t>
  </si>
  <si>
    <t xml:space="preserve">TX0082</t>
  </si>
  <si>
    <t xml:space="preserve">TX0135</t>
  </si>
  <si>
    <t xml:space="preserve">TX0118</t>
  </si>
  <si>
    <t xml:space="preserve">TX0093</t>
  </si>
  <si>
    <t xml:space="preserve">TX0045</t>
  </si>
  <si>
    <t xml:space="preserve">TX0124</t>
  </si>
  <si>
    <t xml:space="preserve">TX0165</t>
  </si>
  <si>
    <t xml:space="preserve">TX0121</t>
  </si>
  <si>
    <t xml:space="preserve">TX0161</t>
  </si>
  <si>
    <t xml:space="preserve">TX0169</t>
  </si>
  <si>
    <t xml:space="preserve">TX0115</t>
  </si>
  <si>
    <t xml:space="preserve">TX0163</t>
  </si>
  <si>
    <t xml:space="preserve">TX0029</t>
  </si>
  <si>
    <t xml:space="preserve">TX0025</t>
  </si>
  <si>
    <t xml:space="preserve">TX0047</t>
  </si>
  <si>
    <t xml:space="preserve">Data last refreshed:</t>
  </si>
  <si>
    <t xml:space="preserve">DATA ANALYSIS &amp; FORMULA DEMONSTRATIONS</t>
  </si>
  <si>
    <t xml:space="preserve">All required functions &amp; techniques implemented on this sheet</t>
  </si>
  <si>
    <t xml:space="preserve">1. DATE &amp; TIME FUNCTIONS</t>
  </si>
  <si>
    <t xml:space="preserve">TODAY()</t>
  </si>
  <si>
    <t xml:space="preserve">Current system date</t>
  </si>
  <si>
    <t xml:space="preserve">NOW()</t>
  </si>
  <si>
    <t xml:space="preserve">Current date &amp; time (also used for timestamp)</t>
  </si>
  <si>
    <t xml:space="preserve">EOMONTH (end of current month)</t>
  </si>
  <si>
    <t xml:space="preserve">Last day of current month</t>
  </si>
  <si>
    <t xml:space="preserve">EOMONTH (end of previous month)</t>
  </si>
  <si>
    <t xml:space="preserve">DATEDIF (days since first transaction)</t>
  </si>
  <si>
    <t xml:space="preserve">Days from earliest transaction to today</t>
  </si>
  <si>
    <t xml:space="preserve">DATEDIF (months of data span)</t>
  </si>
  <si>
    <t xml:space="preserve">Approximate months covered by data</t>
  </si>
  <si>
    <t xml:space="preserve">TIMESTAMP (using NOW + iterative calc concept)</t>
  </si>
  <si>
    <t xml:space="preserve">Last Analysis Run Timestamp:</t>
  </si>
  <si>
    <t xml:space="preserve">Yellow = input / dynamic value. In practice enable iterative calc for true timestamps.</t>
  </si>
  <si>
    <t xml:space="preserve">2. KEY SUMMARY METRICS (using SUMIF, COUNTIF, AVERAGEIF etc.)</t>
  </si>
  <si>
    <t xml:space="preserve">Total Revenue</t>
  </si>
  <si>
    <t xml:space="preserve">Total Transactions</t>
  </si>
  <si>
    <t xml:space="preserve">Unique Customers</t>
  </si>
  <si>
    <t xml:space="preserve">Approximate unique count via formula</t>
  </si>
  <si>
    <t xml:space="preserve">Average Order Value</t>
  </si>
  <si>
    <t xml:space="preserve">Total Quantity Sold</t>
  </si>
  <si>
    <t xml:space="preserve">3. HIGH-VALUE CUSTOMERS (GroupBy concept using SUMIF + RANK)</t>
  </si>
  <si>
    <t xml:space="preserve">Customer Name</t>
  </si>
  <si>
    <t xml:space="preserve">Total Spend</t>
  </si>
  <si>
    <t xml:space="preserve">Rank</t>
  </si>
  <si>
    <t xml:space="preserve">High-Value Flag</t>
  </si>
  <si>
    <t xml:space="preserve">4. MOST FREQUENTLY PURCHASED PRODUCT / REPEATING NAMES</t>
  </si>
  <si>
    <t xml:space="preserve">Times Sold (COUNTIF)</t>
  </si>
  <si>
    <t xml:space="preserve">Total Qty</t>
  </si>
  <si>
    <t xml:space="preserve">Most Frequent Product (by transaction count):</t>
  </si>
  <si>
    <t xml:space="preserve">Highest Revenue Product:</t>
  </si>
  <si>
    <t xml:space="preserve">5. COMPARE TWO LISTS &amp; EXTRACT MATCHING NAMES</t>
  </si>
  <si>
    <t xml:space="preserve">List A (VIP Candidates)</t>
  </si>
  <si>
    <t xml:space="preserve">List B (All Customers in Data)</t>
  </si>
  <si>
    <t xml:space="preserve">Match? (using MATCH/IF)</t>
  </si>
  <si>
    <t xml:space="preserve">Matching Names (FILTER-style)</t>
  </si>
  <si>
    <t xml:space="preserve">NonExistent User</t>
  </si>
  <si>
    <t xml:space="preserve">Ghost Customer</t>
  </si>
  <si>
    <t xml:space="preserve">Unknown Person</t>
  </si>
  <si>
    <t xml:space="preserve">Note: FILTER function (Excel 365) for multi-value returns:</t>
  </si>
  <si>
    <t xml:space="preserve">FILTER example (Excel 365): =FILTER('Raw Data'!D5:D184,'Raw Data'!I5:I184="North") → returns all customer names in North region</t>
  </si>
  <si>
    <t xml:space="preserve">Implemented via helper columns / COUNTIF above for broader compatibility.</t>
  </si>
  <si>
    <t xml:space="preserve">6. CREATE ABBREVIATIONS USING TEXT FUNCTIONS</t>
  </si>
  <si>
    <t xml:space="preserve">Full Name</t>
  </si>
  <si>
    <t xml:space="preserve">Abbreviation (LEFT/MID/RIGHT + UPPER)</t>
  </si>
  <si>
    <t xml:space="preserve">Initials</t>
  </si>
  <si>
    <t xml:space="preserve">Product Code (TEXT)</t>
  </si>
  <si>
    <t xml:space="preserve">7. FILTER-STYLE MULTI-VALUE RETURNS (Category = Electronics)</t>
  </si>
  <si>
    <t xml:space="preserve">Product (Electronics only)</t>
  </si>
  <si>
    <t xml:space="preserve">Avg Unit Price</t>
  </si>
  <si>
    <t xml:space="preserve">8. CONDITIONAL FORMATTING WITH ICONS / ARROWS</t>
  </si>
  <si>
    <t xml:space="preserve">vs Average (Arrow Icons)</t>
  </si>
  <si>
    <t xml:space="preserve">9. LINEAR REGRESSION (Data Analysis ToolPak ready)</t>
  </si>
  <si>
    <t xml:space="preserve">Instructions: Data → Data Analysis → Regression</t>
  </si>
  <si>
    <t xml:space="preserve">Y Range: Monthly Revenue | X Range: Month Number</t>
  </si>
  <si>
    <t xml:space="preserve">Month #</t>
  </si>
  <si>
    <t xml:space="preserve">Month Label</t>
  </si>
  <si>
    <t xml:space="preserve">Monthly Revenue</t>
  </si>
  <si>
    <t xml:space="preserve">Apr 2024</t>
  </si>
  <si>
    <t xml:space="preserve">May 2024</t>
  </si>
  <si>
    <t xml:space="preserve">Jun 2024</t>
  </si>
  <si>
    <t xml:space="preserve">Jul 2024</t>
  </si>
  <si>
    <t xml:space="preserve">Aug 2024</t>
  </si>
  <si>
    <t xml:space="preserve">Sep 2024</t>
  </si>
  <si>
    <t xml:space="preserve">Oct 2024</t>
  </si>
  <si>
    <t xml:space="preserve">Nov 2024</t>
  </si>
  <si>
    <t xml:space="preserve">Dec 2024</t>
  </si>
  <si>
    <t xml:space="preserve">Jan 2025</t>
  </si>
  <si>
    <t xml:space="preserve">Feb 2025</t>
  </si>
  <si>
    <t xml:space="preserve">Mar 2025</t>
  </si>
  <si>
    <t xml:space="preserve">Apr 2025</t>
  </si>
  <si>
    <t xml:space="preserve">May 2025</t>
  </si>
  <si>
    <t xml:space="preserve">Jun 2025</t>
  </si>
  <si>
    <t xml:space="preserve">Jul 2025</t>
  </si>
  <si>
    <t xml:space="preserve">Aug 2025</t>
  </si>
  <si>
    <t xml:space="preserve">Sep 2025</t>
  </si>
  <si>
    <t xml:space="preserve">After running Regression in ToolPak, interpret slope (trend) and R² for storytelling.</t>
  </si>
  <si>
    <t xml:space="preserve">10. WHAT-IF ANALYSIS (Scenario Manager &amp; Goal Seek ready)</t>
  </si>
  <si>
    <t xml:space="preserve">Base Assumptions (edit yellow cells)</t>
  </si>
  <si>
    <t xml:space="preserve">Price Increase %</t>
  </si>
  <si>
    <t xml:space="preserve">← Input for Scenario Manager</t>
  </si>
  <si>
    <t xml:space="preserve">Volume Change %</t>
  </si>
  <si>
    <t xml:space="preserve">Current Total Revenue</t>
  </si>
  <si>
    <t xml:space="preserve">Projected Revenue (What-If)</t>
  </si>
  <si>
    <t xml:space="preserve">GOAL SEEK example:</t>
  </si>
  <si>
    <t xml:space="preserve">To find required Price Increase % to reach $150,000 projected revenue:</t>
  </si>
  <si>
    <t xml:space="preserve">Data → What-If Analysis → Goal Seek → Set B145 to 150000 by changing B142</t>
  </si>
  <si>
    <t xml:space="preserve">SCENARIO MANAGER: Create scenarios 'Base', 'Optimistic (+10% price)', 'Pessimistic (-5% vol)' using B142 &amp; B143</t>
  </si>
  <si>
    <t xml:space="preserve">VISUALIZATIONS &amp; PIVOT-READY SUMMARIES</t>
  </si>
  <si>
    <t xml:space="preserve">Supporting data for charts and dashboard. Pivot Tables recommended for interactive use.</t>
  </si>
  <si>
    <t xml:space="preserve">REGIONAL SALES SUMMARY</t>
  </si>
  <si>
    <t xml:space="preserve">Transactions</t>
  </si>
  <si>
    <t xml:space="preserve">% of Total</t>
  </si>
  <si>
    <t xml:space="preserve">CATEGORY SALES SUMMARY</t>
  </si>
  <si>
    <t xml:space="preserve">Qty Sold</t>
  </si>
  <si>
    <t xml:space="preserve">MONTHLY REVENUE TREND</t>
  </si>
  <si>
    <t xml:space="preserve">Month</t>
  </si>
  <si>
    <t xml:space="preserve">TOP 10 CUSTOMERS BY REVENUE</t>
  </si>
  <si>
    <t xml:space="preserve">Customer</t>
  </si>
  <si>
    <t xml:space="preserve">📊 EXECUTIVE DASHBOARD – CUSTOMER TRANSACTION INSIGHTS</t>
  </si>
  <si>
    <t xml:space="preserve">TOTAL REVENUE</t>
  </si>
  <si>
    <t xml:space="preserve">TOTAL TRANSACTIONS</t>
  </si>
  <si>
    <t xml:space="preserve">AVG ORDER VALUE</t>
  </si>
  <si>
    <t xml:space="preserve">UNIQUE CUSTOMERS</t>
  </si>
  <si>
    <t xml:space="preserve">KPI Indicators use conditional formatting (color scale / icons) on supporting metrics below.</t>
  </si>
  <si>
    <t xml:space="preserve">KEY INSIGHTS AT A GLANCE</t>
  </si>
  <si>
    <t xml:space="preserve">Most Sold Product (by count)</t>
  </si>
  <si>
    <t xml:space="preserve">Highest Revenue Product</t>
  </si>
  <si>
    <t xml:space="preserve">Top Region by Revenue</t>
  </si>
  <si>
    <t xml:space="preserve">Top Customer (from list)</t>
  </si>
  <si>
    <t xml:space="preserve">REGIONAL PERFORMANCE</t>
  </si>
  <si>
    <t xml:space="preserve">★ HIGH-VALUE CUSTOMERS (Top 5 by Spend)</t>
  </si>
  <si>
    <t xml:space="preserve">% Share</t>
  </si>
  <si>
    <t xml:space="preserve">Status</t>
  </si>
  <si>
    <t xml:space="preserve">CATEGORY BREAKDOWN</t>
  </si>
  <si>
    <t xml:space="preserve">Qty</t>
  </si>
  <si>
    <t xml:space="preserve">📌 HOW TO BUILD INTERACTIVE PIVOT TABLES, CHARTS, SLICERS &amp; TIMELINES</t>
  </si>
  <si>
    <t xml:space="preserve">1. Select Raw Data sheet → Insert → PivotTable → Place on new sheet or here.</t>
  </si>
  <si>
    <t xml:space="preserve">2. Rows: Region or CustomerName | Columns: Category | Values: Sum of Revenue / Count of TransactionID.</t>
  </si>
  <si>
    <t xml:space="preserve">3. Insert → PivotChart → choose Bar, Line or Pie.</t>
  </si>
  <si>
    <t xml:space="preserve">4. With PivotTable selected → PivotTable Analyze → Insert Slicer (Region, Category) and Insert Timeline (Date).</t>
  </si>
  <si>
    <t xml:space="preserve">5. Arrange slicers and timeline on this Dashboard sheet for interactive filtering.</t>
  </si>
  <si>
    <t xml:space="preserve">6. KPI cards above already use live formulas; refresh PivotTables after data changes (Right-click → Refresh).</t>
  </si>
  <si>
    <t xml:space="preserve">7. Conditional Formatting → Icon Sets on any numeric column for arrow indicators.</t>
  </si>
  <si>
    <t xml:space="preserve">8. For Linear Regression: Data → Data Analysis → Regression using Analysis!A118:C135 (Month # vs Revenue).</t>
  </si>
  <si>
    <t xml:space="preserve">📖 DATA STORYTELLING &amp; INSIGHTS</t>
  </si>
  <si>
    <t xml:space="preserve">• The dataset covers ~18 months of retail transactions across 5 regions and 6 product categories.</t>
  </si>
  <si>
    <t xml:space="preserve">• High-value customers (top 5 by total spend) represent a disproportionate share of revenue – focus retention efforts here.</t>
  </si>
  <si>
    <t xml:space="preserve">• Regional performance varies; use the status indicators (▲/●/▼) to prioritise marketing in under-performing regions.</t>
  </si>
  <si>
    <t xml:space="preserve">• Electronics and Furniture typically drive higher average order values; Stationery shows higher transaction frequency.</t>
  </si>
  <si>
    <t xml:space="preserve">• Monthly trend can be analysed with Linear Regression (ToolPak) to quantify growth slope and seasonality.</t>
  </si>
  <si>
    <t xml:space="preserve">• What-If scenarios (Analysis sheet) allow quick simulation of price/volume changes for planning.</t>
  </si>
  <si>
    <t xml:space="preserve">• All formulas are live – changing assumptions or refreshing data updates KPIs and rankings automatically.</t>
  </si>
  <si>
    <t xml:space="preserve">Deliverable checklist: Raw Data ✓ | Analysis (all formulas) ✓ | Visualizations (Bar/Line/Pie) ✓ | Dashboard (KPIs + Insights) ✓ | What-If ready ✓ | Regression ready ✓</t>
  </si>
  <si>
    <t xml:space="preserve">FINAL REPORT – INSIGHTS &amp; STORYTELLING</t>
  </si>
  <si>
    <t xml:space="preserve">Project Objective</t>
  </si>
  <si>
    <t xml:space="preserve">Create a full-fledged analysis and reporting solution using Excel to analyse customer transactions, surface actionable insights, and build interactive visualisations and dashboards. All required date/time functions, FILTER-style logic, conditional formatting, What-If tools, linear regression readiness, GroupBy-style high-value customer identification, pivot-ready structures, KPI indicators, frequency analysis, list comparison, TEXT abbreviations, and narrative storytelling have been implemented.</t>
  </si>
  <si>
    <t xml:space="preserve">Key Findings</t>
  </si>
  <si>
    <t xml:space="preserve">1. Revenue Concentration: A small set of high-value customers (flagged on Analysis sheet) drive a large share of total revenue. Targeted loyalty programmes are recommended.</t>
  </si>
  <si>
    <t xml:space="preserve">2. Regional Variation: Revenue is not evenly distributed. Status indicators on the Dashboard highlight Strong / Average / Below-average regions for resource allocation.</t>
  </si>
  <si>
    <t xml:space="preserve">3. Product Performance: Frequency (COUNTIF) and revenue (SUMIF) rankings identify the most purchased and highest-value products – useful for inventory and promotion decisions.</t>
  </si>
  <si>
    <t xml:space="preserve">4. Trend Analysis: Monthly revenue series (Analysis + Visualizations) is ready for Linear Regression via Data Analysis ToolPak to quantify growth and seasonality.</t>
  </si>
  <si>
    <t xml:space="preserve">5. Scenario Planning: What-If controls (price % and volume %) on the Analysis sheet allow rapid sensitivity testing; Goal Seek can reverse-engineer required price changes.</t>
  </si>
  <si>
    <t xml:space="preserve">6. Data Quality &amp; Completeness: 180 transactions, 30 customers, 20 products, 5 regions, spanning Apr 2024–Sep 2025. Timestamp and DATEDIF functions track data freshness.</t>
  </si>
  <si>
    <t xml:space="preserve">Technical Implementation Summary</t>
  </si>
  <si>
    <t xml:space="preserve">• Date &amp; Time: TODAY, NOW, DATEDIF, EOMONTH – Analysis sheet rows 5-10 &amp; 13.</t>
  </si>
  <si>
    <t xml:space="preserve">• FILTER-style multi-value logic: COUNTIF / INDEX-MATCH and category extraction – Analysis §5 &amp; §7.</t>
  </si>
  <si>
    <t xml:space="preserve">• Conditional Formatting with Icons/Arrows: IconSetRule on regional performance ratios – Analysis §8.</t>
  </si>
  <si>
    <t xml:space="preserve">• Timestamp: NOW() with yellow input styling; iterative calculation concept documented.</t>
  </si>
  <si>
    <t xml:space="preserve">• What-If: Scenario Manager &amp; Goal Seek ready cells (yellow inputs) – Analysis §10.</t>
  </si>
  <si>
    <t xml:space="preserve">• Linear Regression: Month # vs Monthly Revenue table prepared for Data Analysis ToolPak – Analysis §9.</t>
  </si>
  <si>
    <t xml:space="preserve">• GroupBy High-Value Customers: SUMIF + RANK + conditional flag – Analysis §3.</t>
  </si>
  <si>
    <t xml:space="preserve">• Dashboard: Pivot Tables / Pivot Charts / Slicers / Timelines instructions + live KPI cards.</t>
  </si>
  <si>
    <t xml:space="preserve">• Most frequent product &amp; list comparison (MATCH/IF extraction) – Analysis §4 &amp; §5.</t>
  </si>
  <si>
    <t xml:space="preserve">• Abbreviations via LEFT/MID/RIGHT/UPPER/TEXT – Analysis §6.</t>
  </si>
  <si>
    <t xml:space="preserve">• Final narrative report with insights – this sheet.</t>
  </si>
  <si>
    <t xml:space="preserve">How to use this workbook</t>
  </si>
  <si>
    <t xml:space="preserve">1. Start on Dashboard for executive view. 2. Dive into Analysis for formula details. 3. Use Visualizations for charts. 4. Raw Data is the single source of truth. 5. Run ToolPak Regression &amp; create PivotTables/Slicers as guided on Dashboard.</t>
  </si>
  <si>
    <t xml:space="preserve">© PR Final Project | Excel Analysis &amp; Reporting Solution</t>
  </si>
  <si>
    <t xml:space="preserve">DELIVERABLE CHECKLIST – PR FINAL PROJECT</t>
  </si>
  <si>
    <t xml:space="preserve">Requirement</t>
  </si>
  <si>
    <t xml:space="preserve">Location / Notes</t>
  </si>
  <si>
    <t xml:space="preserve">Date &amp; Time Functions: TODAY, NOW, DATEDIF, EOMONTH</t>
  </si>
  <si>
    <t xml:space="preserve">✓ Done</t>
  </si>
  <si>
    <t xml:space="preserve">Analysis sheet – Section 1</t>
  </si>
  <si>
    <t xml:space="preserve">FILTER Function for multi-value returns</t>
  </si>
  <si>
    <t xml:space="preserve">Analysis §5 &amp; §7 (compatible implementation)</t>
  </si>
  <si>
    <t xml:space="preserve">Conditional Formatting with Icons/Arrows</t>
  </si>
  <si>
    <t xml:space="preserve">Analysis §8 – IconSet 3Arrows</t>
  </si>
  <si>
    <t xml:space="preserve">Create Timestamp (NOW + iterative concept)</t>
  </si>
  <si>
    <t xml:space="preserve">Analysis B13 + Raw Data B186</t>
  </si>
  <si>
    <t xml:space="preserve">WHAT-IF Analysis: Scenario Manager, Goal Seek</t>
  </si>
  <si>
    <t xml:space="preserve">Analysis §10 – yellow input cells</t>
  </si>
  <si>
    <t xml:space="preserve">Linear Regression using Data Analysis ToolPak</t>
  </si>
  <si>
    <t xml:space="preserve">✓ Ready</t>
  </si>
  <si>
    <t xml:space="preserve">Analysis §9 – Month vs Revenue table</t>
  </si>
  <si>
    <t xml:space="preserve">Data Analysis &amp; Storytelling</t>
  </si>
  <si>
    <t xml:space="preserve">Final Report + Dashboard insights</t>
  </si>
  <si>
    <t xml:space="preserve">GroupBy High-Value Customers using formulas</t>
  </si>
  <si>
    <t xml:space="preserve">Analysis §3 – SUMIF + RANK</t>
  </si>
  <si>
    <t xml:space="preserve">Dashboard with Pivot Tables guidance</t>
  </si>
  <si>
    <t xml:space="preserve">Dashboard sheet – instructions</t>
  </si>
  <si>
    <t xml:space="preserve">Pivot Charts (Bar, Line, Pie)</t>
  </si>
  <si>
    <t xml:space="preserve">Visualizations sheet – 3 charts</t>
  </si>
  <si>
    <t xml:space="preserve">Slicers and Timelines guidance</t>
  </si>
  <si>
    <t xml:space="preserve">Dashboard instructions</t>
  </si>
  <si>
    <t xml:space="preserve">KPI Indicators with Conditional Formatting</t>
  </si>
  <si>
    <t xml:space="preserve">Dashboard KPI cards + color scale</t>
  </si>
  <si>
    <t xml:space="preserve">Most frequently purchased product / repeating names</t>
  </si>
  <si>
    <t xml:space="preserve">Analysis §4</t>
  </si>
  <si>
    <t xml:space="preserve">Compare two lists &amp; extract matching names</t>
  </si>
  <si>
    <t xml:space="preserve">Analysis §5</t>
  </si>
  <si>
    <t xml:space="preserve">Abbreviations using TEXT functions</t>
  </si>
  <si>
    <t xml:space="preserve">Analysis §6</t>
  </si>
  <si>
    <t xml:space="preserve">Well-structured workbook (Raw Data, Analysis, Viz, Dashboard)</t>
  </si>
  <si>
    <t xml:space="preserve">6 sheets total</t>
  </si>
  <si>
    <t xml:space="preserve">Summary Insights: Total Revenue, Top Customers, Most Sold, Regional</t>
  </si>
  <si>
    <t xml:space="preserve">Dashboard + Visualizations</t>
  </si>
  <si>
    <t xml:space="preserve">Final report with insights and storytelling</t>
  </si>
  <si>
    <t xml:space="preserve">Final Report sheet</t>
  </si>
</sst>
</file>

<file path=xl/styles.xml><?xml version="1.0" encoding="utf-8"?>
<styleSheet xmlns="http://schemas.openxmlformats.org/spreadsheetml/2006/main">
  <numFmts count="9">
    <numFmt numFmtId="164" formatCode="General"/>
    <numFmt numFmtId="165" formatCode="yyyy\-mm\-dd"/>
    <numFmt numFmtId="166" formatCode="\$#,##0.00"/>
    <numFmt numFmtId="167" formatCode="yyyy\-mm\-dd\ hh:mm:ss"/>
    <numFmt numFmtId="168" formatCode="General"/>
    <numFmt numFmtId="169" formatCode="0.00"/>
    <numFmt numFmtId="170" formatCode="0.0%"/>
    <numFmt numFmtId="171" formatCode="\$#,##0"/>
    <numFmt numFmtId="172" formatCode="#,##0"/>
  </numFmts>
  <fonts count="25">
    <font>
      <sz val="11"/>
      <color theme="1"/>
      <name val="Calibri"/>
      <family val="2"/>
      <charset val="1"/>
    </font>
    <font>
      <sz val="10"/>
      <name val="Arial"/>
      <family val="0"/>
    </font>
    <font>
      <sz val="10"/>
      <name val="Arial"/>
      <family val="0"/>
    </font>
    <font>
      <sz val="10"/>
      <name val="Arial"/>
      <family val="0"/>
    </font>
    <font>
      <b val="true"/>
      <sz val="16"/>
      <color rgb="FF1F4E79"/>
      <name val="Arial"/>
      <family val="0"/>
      <charset val="1"/>
    </font>
    <font>
      <i val="true"/>
      <sz val="9"/>
      <color rgb="FF666666"/>
      <name val="Arial"/>
      <family val="0"/>
      <charset val="1"/>
    </font>
    <font>
      <b val="true"/>
      <sz val="12"/>
      <color rgb="FFFFFFFF"/>
      <name val="Arial"/>
      <family val="0"/>
      <charset val="1"/>
    </font>
    <font>
      <sz val="10"/>
      <name val="Arial"/>
      <family val="0"/>
      <charset val="1"/>
    </font>
    <font>
      <sz val="10"/>
      <color rgb="FF000000"/>
      <name val="Arial"/>
      <family val="0"/>
      <charset val="1"/>
    </font>
    <font>
      <b val="true"/>
      <sz val="11"/>
      <color rgb="FF1F4E79"/>
      <name val="Arial"/>
      <family val="0"/>
      <charset val="1"/>
    </font>
    <font>
      <sz val="10"/>
      <color rgb="FF0000FF"/>
      <name val="Arial"/>
      <family val="0"/>
      <charset val="1"/>
    </font>
    <font>
      <b val="true"/>
      <sz val="14"/>
      <color rgb="FF2E75B6"/>
      <name val="Arial"/>
      <family val="0"/>
      <charset val="1"/>
    </font>
    <font>
      <i val="true"/>
      <sz val="9"/>
      <name val="Arial"/>
      <family val="0"/>
      <charset val="1"/>
    </font>
    <font>
      <sz val="10"/>
      <color rgb="FF008000"/>
      <name val="Arial"/>
      <family val="0"/>
      <charset val="1"/>
    </font>
    <font>
      <sz val="9"/>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8"/>
      <color rgb="FF1F4E79"/>
      <name val="Arial"/>
      <family val="0"/>
      <charset val="1"/>
    </font>
    <font>
      <b val="true"/>
      <sz val="10"/>
      <color rgb="FFFFFFFF"/>
      <name val="Arial"/>
      <family val="0"/>
      <charset val="1"/>
    </font>
    <font>
      <b val="true"/>
      <sz val="16"/>
      <color rgb="FFFFFFFF"/>
      <name val="Arial"/>
      <family val="0"/>
      <charset val="1"/>
    </font>
    <font>
      <i val="true"/>
      <sz val="8"/>
      <color rgb="FF666666"/>
      <name val="Arial"/>
      <family val="0"/>
      <charset val="1"/>
    </font>
    <font>
      <i val="true"/>
      <sz val="8"/>
      <color rgb="FF1F4E79"/>
      <name val="Arial"/>
      <family val="0"/>
      <charset val="1"/>
    </font>
    <font>
      <b val="true"/>
      <sz val="10"/>
      <color rgb="FF006600"/>
      <name val="Arial"/>
      <family val="0"/>
      <charset val="1"/>
    </font>
    <font>
      <sz val="9"/>
      <color rgb="FF666666"/>
      <name val="Arial"/>
      <family val="0"/>
      <charset val="1"/>
    </font>
  </fonts>
  <fills count="9">
    <fill>
      <patternFill patternType="none"/>
    </fill>
    <fill>
      <patternFill patternType="gray125"/>
    </fill>
    <fill>
      <patternFill patternType="solid">
        <fgColor rgb="FF1F4E79"/>
        <bgColor rgb="FF003366"/>
      </patternFill>
    </fill>
    <fill>
      <patternFill patternType="solid">
        <fgColor rgb="FFFCF3CF"/>
        <bgColor rgb="FFF9F9F9"/>
      </patternFill>
    </fill>
    <fill>
      <patternFill patternType="solid">
        <fgColor rgb="FFD5F5E3"/>
        <bgColor rgb="FFF9F9F9"/>
      </patternFill>
    </fill>
    <fill>
      <patternFill patternType="solid">
        <fgColor rgb="FF1ABC9C"/>
        <bgColor rgb="FF4BACC6"/>
      </patternFill>
    </fill>
    <fill>
      <patternFill patternType="solid">
        <fgColor rgb="FF3498DB"/>
        <bgColor rgb="FF4BACC6"/>
      </patternFill>
    </fill>
    <fill>
      <patternFill patternType="solid">
        <fgColor rgb="FF9B59B6"/>
        <bgColor rgb="FF8064A2"/>
      </patternFill>
    </fill>
    <fill>
      <patternFill patternType="solid">
        <fgColor rgb="FFE74C3C"/>
        <bgColor rgb="FFC0504D"/>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5" fontId="7"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6" fontId="7" fillId="0" borderId="1" xfId="0" applyFont="true" applyBorder="true" applyAlignment="true" applyProtection="false">
      <alignment horizontal="left" vertical="center" textRotation="0" wrapText="false" indent="0" shrinkToFit="false"/>
      <protection locked="true" hidden="false"/>
    </xf>
    <xf numFmtId="166" fontId="8" fillId="0" borderId="1" xfId="0" applyFont="true" applyBorder="true" applyAlignment="true" applyProtection="false">
      <alignment horizontal="left" vertical="center"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7" fontId="10"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general" vertical="bottom" textRotation="0" wrapText="false" indent="0" shrinkToFit="false"/>
      <protection locked="true" hidden="false"/>
    </xf>
    <xf numFmtId="167" fontId="8" fillId="0" borderId="0" xfId="0" applyFont="true" applyBorder="false" applyAlignment="true" applyProtection="false">
      <alignment horizontal="general" vertical="bottom" textRotation="0" wrapText="false" indent="0" shrinkToFit="false"/>
      <protection locked="true" hidden="false"/>
    </xf>
    <xf numFmtId="168" fontId="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bottom" textRotation="0" wrapText="false" indent="0" shrinkToFit="false"/>
      <protection locked="true" hidden="false"/>
    </xf>
    <xf numFmtId="167" fontId="10" fillId="3" borderId="0" xfId="0" applyFont="true" applyBorder="false" applyAlignment="true" applyProtection="false">
      <alignment horizontal="general" vertical="bottom" textRotation="0" wrapText="false" indent="0" shrinkToFit="false"/>
      <protection locked="true" hidden="false"/>
    </xf>
    <xf numFmtId="166" fontId="8" fillId="4" borderId="0" xfId="0" applyFont="true" applyBorder="false" applyAlignment="true" applyProtection="false">
      <alignment horizontal="general" vertical="bottom" textRotation="0" wrapText="false" indent="0" shrinkToFit="false"/>
      <protection locked="true" hidden="false"/>
    </xf>
    <xf numFmtId="166" fontId="8" fillId="0" borderId="0" xfId="0" applyFont="true" applyBorder="fals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6" fontId="8" fillId="0" borderId="1" xfId="0" applyFont="true" applyBorder="true" applyAlignment="true" applyProtection="false">
      <alignment horizontal="general" vertical="bottom" textRotation="0" wrapText="false" indent="0" shrinkToFit="false"/>
      <protection locked="true" hidden="false"/>
    </xf>
    <xf numFmtId="168" fontId="8" fillId="0" borderId="1" xfId="0" applyFont="true" applyBorder="true" applyAlignment="tru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bottom" textRotation="0" wrapText="false" indent="0" shrinkToFit="false"/>
      <protection locked="true" hidden="false"/>
    </xf>
    <xf numFmtId="164" fontId="8" fillId="4" borderId="0" xfId="0" applyFont="true" applyBorder="false" applyAlignment="tru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9" fontId="8" fillId="0" borderId="1" xfId="0" applyFont="true" applyBorder="true" applyAlignment="true" applyProtection="false">
      <alignment horizontal="general" vertical="bottom" textRotation="0" wrapText="false" indent="0" shrinkToFit="false"/>
      <protection locked="true" hidden="false"/>
    </xf>
    <xf numFmtId="170" fontId="10" fillId="3" borderId="0" xfId="0" applyFont="true" applyBorder="false" applyAlignment="true" applyProtection="false">
      <alignment horizontal="general" vertical="bottom" textRotation="0" wrapText="false" indent="0" shrinkToFit="false"/>
      <protection locked="true" hidden="false"/>
    </xf>
    <xf numFmtId="166" fontId="13"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70" fontId="8" fillId="0" borderId="1" xfId="0" applyFont="true" applyBorder="true" applyAlignment="true" applyProtection="false">
      <alignment horizontal="general" vertical="bottom" textRotation="0" wrapText="false" indent="0" shrinkToFit="false"/>
      <protection locked="true" hidden="false"/>
    </xf>
    <xf numFmtId="164" fontId="18" fillId="0"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center" vertical="bottom" textRotation="0" wrapText="false" indent="0" shrinkToFit="false"/>
      <protection locked="true" hidden="false"/>
    </xf>
    <xf numFmtId="164" fontId="19" fillId="5" borderId="0" xfId="0" applyFont="true" applyBorder="true" applyAlignment="true" applyProtection="false">
      <alignment horizontal="center" vertical="center" textRotation="0" wrapText="true" indent="0" shrinkToFit="false"/>
      <protection locked="true" hidden="false"/>
    </xf>
    <xf numFmtId="164" fontId="19" fillId="6" borderId="0" xfId="0" applyFont="true" applyBorder="true" applyAlignment="true" applyProtection="false">
      <alignment horizontal="center" vertical="center" textRotation="0" wrapText="true" indent="0" shrinkToFit="false"/>
      <protection locked="true" hidden="false"/>
    </xf>
    <xf numFmtId="164" fontId="19" fillId="7" borderId="0" xfId="0" applyFont="true" applyBorder="true" applyAlignment="true" applyProtection="false">
      <alignment horizontal="center" vertical="center" textRotation="0" wrapText="true" indent="0" shrinkToFit="false"/>
      <protection locked="true" hidden="false"/>
    </xf>
    <xf numFmtId="164" fontId="19" fillId="8" borderId="0" xfId="0" applyFont="true" applyBorder="true" applyAlignment="true" applyProtection="false">
      <alignment horizontal="center" vertical="center" textRotation="0" wrapText="true" indent="0" shrinkToFit="false"/>
      <protection locked="true" hidden="false"/>
    </xf>
    <xf numFmtId="171" fontId="20" fillId="5" borderId="0" xfId="0" applyFont="true" applyBorder="true" applyAlignment="true" applyProtection="false">
      <alignment horizontal="center" vertical="center" textRotation="0" wrapText="true" indent="0" shrinkToFit="false"/>
      <protection locked="true" hidden="false"/>
    </xf>
    <xf numFmtId="172" fontId="20" fillId="6" borderId="0" xfId="0" applyFont="true" applyBorder="true" applyAlignment="true" applyProtection="false">
      <alignment horizontal="center" vertical="center" textRotation="0" wrapText="true" indent="0" shrinkToFit="false"/>
      <protection locked="true" hidden="false"/>
    </xf>
    <xf numFmtId="166" fontId="20" fillId="7" borderId="0" xfId="0" applyFont="true" applyBorder="true" applyAlignment="true" applyProtection="false">
      <alignment horizontal="center" vertical="center" textRotation="0" wrapText="true" indent="0" shrinkToFit="false"/>
      <protection locked="true" hidden="false"/>
    </xf>
    <xf numFmtId="172" fontId="20" fillId="8" borderId="0" xfId="0" applyFont="true" applyBorder="true" applyAlignment="true" applyProtection="false">
      <alignment horizontal="center" vertical="center" textRotation="0" wrapText="true" indent="0" shrinkToFit="false"/>
      <protection locked="true" hidden="false"/>
    </xf>
    <xf numFmtId="164" fontId="21" fillId="0" borderId="0" xfId="0" applyFont="true" applyBorder="false" applyAlignment="true" applyProtection="false">
      <alignment horizontal="general" vertical="bottom" textRotation="0" wrapText="false" indent="0" shrinkToFit="false"/>
      <protection locked="true" hidden="false"/>
    </xf>
    <xf numFmtId="164" fontId="13" fillId="4" borderId="0" xfId="0" applyFont="true" applyBorder="false" applyAlignment="true" applyProtection="false">
      <alignment horizontal="general" vertical="bottom" textRotation="0" wrapText="false" indent="0" shrinkToFit="false"/>
      <protection locked="true" hidden="false"/>
    </xf>
    <xf numFmtId="164" fontId="13" fillId="0" borderId="1" xfId="0" applyFont="true" applyBorder="true" applyAlignment="true" applyProtection="false">
      <alignment horizontal="general" vertical="bottom" textRotation="0" wrapText="false" indent="0" shrinkToFit="false"/>
      <protection locked="true" hidden="false"/>
    </xf>
    <xf numFmtId="171" fontId="13" fillId="0" borderId="1" xfId="0" applyFont="true" applyBorder="true" applyAlignment="true" applyProtection="false">
      <alignment horizontal="general" vertical="bottom" textRotation="0" wrapText="false" indent="0" shrinkToFit="false"/>
      <protection locked="true" hidden="false"/>
    </xf>
    <xf numFmtId="170" fontId="13" fillId="0" borderId="1" xfId="0" applyFont="true" applyBorder="true" applyAlignment="true" applyProtection="false">
      <alignment horizontal="general" vertical="bottom" textRotation="0" wrapText="false" indent="0" shrinkToFit="false"/>
      <protection locked="true" hidden="false"/>
    </xf>
    <xf numFmtId="164" fontId="13" fillId="3" borderId="1" xfId="0" applyFont="true" applyBorder="true" applyAlignment="true" applyProtection="false">
      <alignment horizontal="general" vertical="bottom" textRotation="0" wrapText="false" indent="0" shrinkToFit="false"/>
      <protection locked="true" hidden="false"/>
    </xf>
    <xf numFmtId="166" fontId="13" fillId="3" borderId="1" xfId="0" applyFont="true" applyBorder="true" applyAlignment="tru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general" vertical="bottom" textRotation="0" wrapText="false" indent="0" shrinkToFit="false"/>
      <protection locked="true" hidden="false"/>
    </xf>
    <xf numFmtId="164" fontId="14" fillId="0" borderId="0" xfId="0" applyFont="true" applyBorder="true" applyAlignment="true" applyProtection="false">
      <alignment horizontal="general" vertical="bottom" textRotation="0" wrapText="false" indent="0" shrinkToFit="false"/>
      <protection locked="true" hidden="false"/>
    </xf>
    <xf numFmtId="164" fontId="22" fillId="0" borderId="0"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bottom" textRotation="0" wrapText="true" indent="0" shrinkToFit="false"/>
      <protection locked="true" hidden="false"/>
    </xf>
    <xf numFmtId="164" fontId="23" fillId="4" borderId="1" xfId="0" applyFont="true" applyBorder="true" applyAlignment="true" applyProtection="false">
      <alignment horizontal="general" vertical="bottom" textRotation="0" wrapText="false" indent="0" shrinkToFit="false"/>
      <protection locked="true" hidden="false"/>
    </xf>
    <xf numFmtId="164" fontId="24" fillId="0" borderId="1"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F9E79F"/>
        </patternFill>
      </fill>
    </dxf>
    <dxf>
      <fill>
        <patternFill>
          <bgColor rgb="FFABEBC6"/>
        </patternFill>
      </fill>
    </dxf>
    <dxf>
      <fill>
        <patternFill>
          <bgColor rgb="FFF5B7B1"/>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666666"/>
      <rgbColor rgb="FF800080"/>
      <rgbColor rgb="FF3498DB"/>
      <rgbColor rgb="FFBFBFBF"/>
      <rgbColor rgb="FF878787"/>
      <rgbColor rgb="FF4BACC6"/>
      <rgbColor rgb="FFC0504D"/>
      <rgbColor rgb="FFFCF3CF"/>
      <rgbColor rgb="FFF9F9F9"/>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ABEBC6"/>
      <rgbColor rgb="FFD5F5E3"/>
      <rgbColor rgb="FFF9E79F"/>
      <rgbColor rgb="FF99CCFF"/>
      <rgbColor rgb="FFFF99CC"/>
      <rgbColor rgb="FFCC99FF"/>
      <rgbColor rgb="FFF5B7B1"/>
      <rgbColor rgb="FF2E75B6"/>
      <rgbColor rgb="FF1ABC9C"/>
      <rgbColor rgb="FF9BBB59"/>
      <rgbColor rgb="FFFFCC00"/>
      <rgbColor rgb="FFF79646"/>
      <rgbColor rgb="FFE74C3C"/>
      <rgbColor rgb="FF8064A2"/>
      <rgbColor rgb="FF4F81BD"/>
      <rgbColor rgb="FF003366"/>
      <rgbColor rgb="FF4A7EBB"/>
      <rgbColor rgb="FF006600"/>
      <rgbColor rgb="FF333300"/>
      <rgbColor rgb="FF993300"/>
      <rgbColor rgb="FF9B59B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Revenue by Region</a:t>
            </a:r>
          </a:p>
        </c:rich>
      </c:tx>
      <c:overlay val="0"/>
      <c:spPr>
        <a:noFill/>
        <a:ln w="0">
          <a:noFill/>
        </a:ln>
      </c:spPr>
    </c:title>
    <c:autoTitleDeleted val="0"/>
    <c:plotArea>
      <c:barChart>
        <c:barDir val="col"/>
        <c:grouping val="clustered"/>
        <c:varyColors val="0"/>
        <c:ser>
          <c:idx val="0"/>
          <c:order val="0"/>
          <c:tx>
            <c:strRef>
              <c:f>Visualizations!B5</c:f>
              <c:strCache>
                <c:ptCount val="1"/>
                <c:pt idx="0">
                  <c:v>Total Revenue</c:v>
                </c:pt>
              </c:strCache>
            </c:strRef>
          </c:tx>
          <c:spPr>
            <a:solidFill>
              <a:srgbClr val="4f81bd"/>
            </a:solidFill>
            <a:ln w="9360">
              <a:solidFill>
                <a:srgbClr val="f9f9f9"/>
              </a:solidFill>
              <a:round/>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Visualizations!$A$6:$A$10</c:f>
              <c:strCache>
                <c:ptCount val="5"/>
                <c:pt idx="0">
                  <c:v>North</c:v>
                </c:pt>
                <c:pt idx="1">
                  <c:v>South</c:v>
                </c:pt>
                <c:pt idx="2">
                  <c:v>East</c:v>
                </c:pt>
                <c:pt idx="3">
                  <c:v>West</c:v>
                </c:pt>
                <c:pt idx="4">
                  <c:v>Central</c:v>
                </c:pt>
              </c:strCache>
            </c:strRef>
          </c:cat>
          <c:val>
            <c:numRef>
              <c:f>Visualizations!$B$6:$B$10</c:f>
              <c:numCache>
                <c:formatCode>\$#,##0.00</c:formatCode>
                <c:ptCount val="5"/>
                <c:pt idx="0">
                  <c:v>7706.37</c:v>
                </c:pt>
                <c:pt idx="1">
                  <c:v>16680.97</c:v>
                </c:pt>
                <c:pt idx="2">
                  <c:v>14821.2</c:v>
                </c:pt>
                <c:pt idx="3">
                  <c:v>13893.73</c:v>
                </c:pt>
                <c:pt idx="4">
                  <c:v>7673.83</c:v>
                </c:pt>
              </c:numCache>
            </c:numRef>
          </c:val>
        </c:ser>
        <c:gapWidth val="150"/>
        <c:overlap val="0"/>
        <c:axId val="44853195"/>
        <c:axId val="4039268"/>
      </c:barChart>
      <c:catAx>
        <c:axId val="44853195"/>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Region</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039268"/>
        <c:crosses val="autoZero"/>
        <c:auto val="1"/>
        <c:lblAlgn val="ctr"/>
        <c:lblOffset val="100"/>
        <c:noMultiLvlLbl val="0"/>
      </c:catAx>
      <c:valAx>
        <c:axId val="4039268"/>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Revenue ($)</a:t>
                </a:r>
              </a:p>
            </c:rich>
          </c:tx>
          <c:overlay val="0"/>
          <c:spPr>
            <a:noFill/>
            <a:ln w="0">
              <a:noFill/>
            </a:ln>
          </c:spPr>
        </c:title>
        <c:numFmt formatCode="\$#,##0.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4853195"/>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Revenue by Category</a:t>
            </a:r>
          </a:p>
        </c:rich>
      </c:tx>
      <c:overlay val="0"/>
      <c:spPr>
        <a:noFill/>
        <a:ln w="0">
          <a:noFill/>
        </a:ln>
      </c:spPr>
    </c:title>
    <c:autoTitleDeleted val="0"/>
    <c:plotArea>
      <c:pieChart>
        <c:varyColors val="1"/>
        <c:ser>
          <c:idx val="0"/>
          <c:order val="0"/>
          <c:tx>
            <c:strRef>
              <c:f>Visualizations!B14</c:f>
              <c:strCache>
                <c:ptCount val="1"/>
                <c:pt idx="0">
                  <c:v>Total Revenue</c:v>
                </c:pt>
              </c:strCache>
            </c:strRef>
          </c:tx>
          <c:spPr>
            <a:solidFill>
              <a:srgbClr val="4f81bd"/>
            </a:solidFill>
            <a:ln w="0">
              <a:noFill/>
            </a:ln>
          </c:spPr>
          <c:explosion val="0"/>
          <c:dPt>
            <c:idx val="0"/>
            <c:spPr>
              <a:solidFill>
                <a:srgbClr val="4f81bd"/>
              </a:solidFill>
              <a:ln w="0">
                <a:noFill/>
              </a:ln>
            </c:spPr>
          </c:dPt>
          <c:dPt>
            <c:idx val="1"/>
            <c:spPr>
              <a:solidFill>
                <a:srgbClr val="c0504d"/>
              </a:solidFill>
              <a:ln w="0">
                <a:noFill/>
              </a:ln>
            </c:spPr>
          </c:dPt>
          <c:dPt>
            <c:idx val="2"/>
            <c:spPr>
              <a:solidFill>
                <a:srgbClr val="9bbb59"/>
              </a:solidFill>
              <a:ln w="0">
                <a:noFill/>
              </a:ln>
            </c:spPr>
          </c:dPt>
          <c:dPt>
            <c:idx val="3"/>
            <c:spPr>
              <a:solidFill>
                <a:srgbClr val="8064a2"/>
              </a:solidFill>
              <a:ln w="0">
                <a:noFill/>
              </a:ln>
            </c:spPr>
          </c:dPt>
          <c:dPt>
            <c:idx val="4"/>
            <c:spPr>
              <a:solidFill>
                <a:srgbClr val="4bacc6"/>
              </a:solidFill>
              <a:ln w="0">
                <a:noFill/>
              </a:ln>
            </c:spPr>
          </c:dPt>
          <c:dPt>
            <c:idx val="5"/>
            <c:spPr>
              <a:solidFill>
                <a:srgbClr val="f79646"/>
              </a:solidFill>
              <a:ln w="0">
                <a:noFill/>
              </a:ln>
            </c:spPr>
          </c:dPt>
          <c:dLbls>
            <c:dLbl>
              <c:idx val="0"/>
              <c:txPr>
                <a:bodyPr wrap="square"/>
                <a:lstStyle/>
                <a:p>
                  <a:pPr>
                    <a:defRPr b="0" sz="1000" spc="-1" strike="noStrike">
                      <a:solidFill>
                        <a:srgbClr val="000000"/>
                      </a:solidFill>
                      <a:latin typeface="Calibri"/>
                    </a:defRPr>
                  </a:pPr>
                </a:p>
              </c:txPr>
              <c:dLblPos val="bestFit"/>
              <c:showLegendKey val="1"/>
              <c:showVal val="0"/>
              <c:showCatName val="0"/>
              <c:showSerName val="1"/>
              <c:showPercent val="1"/>
              <c:separator>
</c:separator>
            </c:dLbl>
            <c:dLbl>
              <c:idx val="1"/>
              <c:txPr>
                <a:bodyPr wrap="square"/>
                <a:lstStyle/>
                <a:p>
                  <a:pPr>
                    <a:defRPr b="0" sz="1000" spc="-1" strike="noStrike">
                      <a:solidFill>
                        <a:srgbClr val="000000"/>
                      </a:solidFill>
                      <a:latin typeface="Calibri"/>
                    </a:defRPr>
                  </a:pPr>
                </a:p>
              </c:txPr>
              <c:dLblPos val="bestFit"/>
              <c:showLegendKey val="1"/>
              <c:showVal val="0"/>
              <c:showCatName val="0"/>
              <c:showSerName val="1"/>
              <c:showPercent val="1"/>
              <c:separator>
</c:separator>
            </c:dLbl>
            <c:dLbl>
              <c:idx val="2"/>
              <c:txPr>
                <a:bodyPr wrap="square"/>
                <a:lstStyle/>
                <a:p>
                  <a:pPr>
                    <a:defRPr b="0" sz="1000" spc="-1" strike="noStrike">
                      <a:solidFill>
                        <a:srgbClr val="000000"/>
                      </a:solidFill>
                      <a:latin typeface="Calibri"/>
                    </a:defRPr>
                  </a:pPr>
                </a:p>
              </c:txPr>
              <c:dLblPos val="bestFit"/>
              <c:showLegendKey val="1"/>
              <c:showVal val="0"/>
              <c:showCatName val="0"/>
              <c:showSerName val="1"/>
              <c:showPercent val="1"/>
              <c:separator>
</c:separator>
            </c:dLbl>
            <c:dLbl>
              <c:idx val="3"/>
              <c:txPr>
                <a:bodyPr wrap="square"/>
                <a:lstStyle/>
                <a:p>
                  <a:pPr>
                    <a:defRPr b="0" sz="1000" spc="-1" strike="noStrike">
                      <a:solidFill>
                        <a:srgbClr val="000000"/>
                      </a:solidFill>
                      <a:latin typeface="Calibri"/>
                    </a:defRPr>
                  </a:pPr>
                </a:p>
              </c:txPr>
              <c:dLblPos val="bestFit"/>
              <c:showLegendKey val="1"/>
              <c:showVal val="0"/>
              <c:showCatName val="0"/>
              <c:showSerName val="1"/>
              <c:showPercent val="1"/>
              <c:separator>
</c:separator>
            </c:dLbl>
            <c:dLbl>
              <c:idx val="4"/>
              <c:txPr>
                <a:bodyPr wrap="square"/>
                <a:lstStyle/>
                <a:p>
                  <a:pPr>
                    <a:defRPr b="0" sz="1000" spc="-1" strike="noStrike">
                      <a:solidFill>
                        <a:srgbClr val="000000"/>
                      </a:solidFill>
                      <a:latin typeface="Calibri"/>
                    </a:defRPr>
                  </a:pPr>
                </a:p>
              </c:txPr>
              <c:dLblPos val="bestFit"/>
              <c:showLegendKey val="1"/>
              <c:showVal val="0"/>
              <c:showCatName val="0"/>
              <c:showSerName val="1"/>
              <c:showPercent val="1"/>
              <c:separator>
</c:separator>
            </c:dLbl>
            <c:dLbl>
              <c:idx val="5"/>
              <c:txPr>
                <a:bodyPr wrap="square"/>
                <a:lstStyle/>
                <a:p>
                  <a:pPr>
                    <a:defRPr b="0" sz="1000" spc="-1" strike="noStrike">
                      <a:solidFill>
                        <a:srgbClr val="000000"/>
                      </a:solidFill>
                      <a:latin typeface="Calibri"/>
                    </a:defRPr>
                  </a:pPr>
                </a:p>
              </c:txPr>
              <c:dLblPos val="bestFit"/>
              <c:showLegendKey val="1"/>
              <c:showVal val="0"/>
              <c:showCatName val="0"/>
              <c:showSerName val="1"/>
              <c:showPercent val="1"/>
              <c:separator>
</c:separator>
            </c:dLbl>
            <c:txPr>
              <a:bodyPr wrap="square"/>
              <a:lstStyle/>
              <a:p>
                <a:pPr>
                  <a:defRPr b="0" sz="1000" spc="-1" strike="noStrike">
                    <a:solidFill>
                      <a:srgbClr val="000000"/>
                    </a:solidFill>
                    <a:latin typeface="Calibri"/>
                  </a:defRPr>
                </a:pPr>
              </a:p>
            </c:txPr>
            <c:dLblPos val="bestFit"/>
            <c:showLegendKey val="1"/>
            <c:showVal val="0"/>
            <c:showCatName val="0"/>
            <c:showSerName val="1"/>
            <c:showPercent val="1"/>
            <c:separator>
</c:separator>
            <c:showLeaderLines val="1"/>
          </c:dLbls>
          <c:cat>
            <c:strRef>
              <c:f>Visualizations!$A$15:$A$20</c:f>
              <c:strCache>
                <c:ptCount val="6"/>
                <c:pt idx="0">
                  <c:v>Appliances</c:v>
                </c:pt>
                <c:pt idx="1">
                  <c:v>Electronics</c:v>
                </c:pt>
                <c:pt idx="2">
                  <c:v>Accessories</c:v>
                </c:pt>
                <c:pt idx="3">
                  <c:v>Fitness</c:v>
                </c:pt>
                <c:pt idx="4">
                  <c:v>Furniture</c:v>
                </c:pt>
                <c:pt idx="5">
                  <c:v>Stationery</c:v>
                </c:pt>
              </c:strCache>
            </c:strRef>
          </c:cat>
          <c:val>
            <c:numRef>
              <c:f>Visualizations!$B$15:$B$20</c:f>
              <c:numCache>
                <c:formatCode>\$#,##0.00</c:formatCode>
                <c:ptCount val="6"/>
                <c:pt idx="0">
                  <c:v>5540.22</c:v>
                </c:pt>
                <c:pt idx="1">
                  <c:v>33391.08</c:v>
                </c:pt>
                <c:pt idx="2">
                  <c:v>2386.56</c:v>
                </c:pt>
                <c:pt idx="3">
                  <c:v>4253.75</c:v>
                </c:pt>
                <c:pt idx="4">
                  <c:v>14091.71</c:v>
                </c:pt>
                <c:pt idx="5">
                  <c:v>1112.78</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Monthly Revenue Trend</a:t>
            </a:r>
          </a:p>
        </c:rich>
      </c:tx>
      <c:overlay val="0"/>
      <c:spPr>
        <a:noFill/>
        <a:ln w="0">
          <a:noFill/>
        </a:ln>
      </c:spPr>
    </c:title>
    <c:autoTitleDeleted val="0"/>
    <c:plotArea>
      <c:lineChart>
        <c:grouping val="standard"/>
        <c:varyColors val="0"/>
        <c:ser>
          <c:idx val="0"/>
          <c:order val="0"/>
          <c:tx>
            <c:strRef>
              <c:f>Visualizations!B25</c:f>
              <c:strCache>
                <c:ptCount val="1"/>
                <c:pt idx="0">
                  <c:v>Revenue</c:v>
                </c:pt>
              </c:strCache>
            </c:strRef>
          </c:tx>
          <c:spPr>
            <a:solidFill>
              <a:srgbClr val="4a7ebb"/>
            </a:solidFill>
            <a:ln w="47520">
              <a:solidFill>
                <a:srgbClr val="4a7ebb"/>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Visualizations!$A$26:$A$43</c:f>
              <c:strCache>
                <c:ptCount val="18"/>
                <c:pt idx="0">
                  <c:v>Apr 2024</c:v>
                </c:pt>
                <c:pt idx="1">
                  <c:v>May 2024</c:v>
                </c:pt>
                <c:pt idx="2">
                  <c:v>Jun 2024</c:v>
                </c:pt>
                <c:pt idx="3">
                  <c:v>Jul 2024</c:v>
                </c:pt>
                <c:pt idx="4">
                  <c:v>Aug 2024</c:v>
                </c:pt>
                <c:pt idx="5">
                  <c:v>Sep 2024</c:v>
                </c:pt>
                <c:pt idx="6">
                  <c:v>Oct 2024</c:v>
                </c:pt>
                <c:pt idx="7">
                  <c:v>Nov 2024</c:v>
                </c:pt>
                <c:pt idx="8">
                  <c:v>Dec 2024</c:v>
                </c:pt>
                <c:pt idx="9">
                  <c:v>Jan 2025</c:v>
                </c:pt>
                <c:pt idx="10">
                  <c:v>Feb 2025</c:v>
                </c:pt>
                <c:pt idx="11">
                  <c:v>Mar 2025</c:v>
                </c:pt>
                <c:pt idx="12">
                  <c:v>Apr 2025</c:v>
                </c:pt>
                <c:pt idx="13">
                  <c:v>May 2025</c:v>
                </c:pt>
                <c:pt idx="14">
                  <c:v>Jun 2025</c:v>
                </c:pt>
                <c:pt idx="15">
                  <c:v>Jul 2025</c:v>
                </c:pt>
                <c:pt idx="16">
                  <c:v>Aug 2025</c:v>
                </c:pt>
                <c:pt idx="17">
                  <c:v>Sep 2025</c:v>
                </c:pt>
              </c:strCache>
            </c:strRef>
          </c:cat>
          <c:val>
            <c:numRef>
              <c:f>Visualizations!$B$26:$B$43</c:f>
              <c:numCache>
                <c:formatCode>\$#,##0.00</c:formatCode>
                <c:ptCount val="18"/>
                <c:pt idx="0">
                  <c:v>964.35</c:v>
                </c:pt>
                <c:pt idx="1">
                  <c:v>3565.91</c:v>
                </c:pt>
                <c:pt idx="2">
                  <c:v>4299.53</c:v>
                </c:pt>
                <c:pt idx="3">
                  <c:v>8998.05</c:v>
                </c:pt>
                <c:pt idx="4">
                  <c:v>1259.38</c:v>
                </c:pt>
                <c:pt idx="5">
                  <c:v>7782.26</c:v>
                </c:pt>
                <c:pt idx="6">
                  <c:v>1310.77</c:v>
                </c:pt>
                <c:pt idx="7">
                  <c:v>2953.06</c:v>
                </c:pt>
                <c:pt idx="8">
                  <c:v>3321.05</c:v>
                </c:pt>
                <c:pt idx="9">
                  <c:v>1899.68</c:v>
                </c:pt>
                <c:pt idx="10">
                  <c:v>760.7</c:v>
                </c:pt>
                <c:pt idx="11">
                  <c:v>1685.44</c:v>
                </c:pt>
                <c:pt idx="12">
                  <c:v>2973.92</c:v>
                </c:pt>
                <c:pt idx="13">
                  <c:v>6320.54</c:v>
                </c:pt>
                <c:pt idx="14">
                  <c:v>1382.67</c:v>
                </c:pt>
                <c:pt idx="15">
                  <c:v>2545.06</c:v>
                </c:pt>
                <c:pt idx="16">
                  <c:v>7461.07</c:v>
                </c:pt>
                <c:pt idx="17">
                  <c:v>1292.66</c:v>
                </c:pt>
              </c:numCache>
            </c:numRef>
          </c:val>
          <c:smooth val="1"/>
        </c:ser>
        <c:hiLowLines>
          <c:spPr>
            <a:ln w="0">
              <a:noFill/>
            </a:ln>
          </c:spPr>
        </c:hiLowLines>
        <c:marker val="0"/>
        <c:axId val="63802612"/>
        <c:axId val="57772134"/>
      </c:lineChart>
      <c:catAx>
        <c:axId val="63802612"/>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Month</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7772134"/>
        <c:crosses val="autoZero"/>
        <c:auto val="1"/>
        <c:lblAlgn val="ctr"/>
        <c:lblOffset val="100"/>
        <c:noMultiLvlLbl val="0"/>
      </c:catAx>
      <c:valAx>
        <c:axId val="57772134"/>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Revenue ($)</a:t>
                </a:r>
              </a:p>
            </c:rich>
          </c:tx>
          <c:overlay val="0"/>
          <c:spPr>
            <a:noFill/>
            <a:ln w="0">
              <a:noFill/>
            </a:ln>
          </c:spPr>
        </c:title>
        <c:numFmt formatCode="\$#,##0.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3802612"/>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Top Customers by Spend</a:t>
            </a:r>
          </a:p>
        </c:rich>
      </c:tx>
      <c:overlay val="0"/>
      <c:spPr>
        <a:noFill/>
        <a:ln w="0">
          <a:noFill/>
        </a:ln>
      </c:spPr>
    </c:title>
    <c:autoTitleDeleted val="0"/>
    <c:plotArea>
      <c:barChart>
        <c:barDir val="bar"/>
        <c:grouping val="clustered"/>
        <c:varyColors val="0"/>
        <c:ser>
          <c:idx val="0"/>
          <c:order val="0"/>
          <c:tx>
            <c:strRef>
              <c:f>Visualizations!C47</c:f>
              <c:strCache>
                <c:ptCount val="1"/>
                <c:pt idx="0">
                  <c:v>Total Spend</c:v>
                </c:pt>
              </c:strCache>
            </c:strRef>
          </c:tx>
          <c:spPr>
            <a:solidFill>
              <a:srgbClr val="4f81bd"/>
            </a:solidFill>
            <a:ln w="9360">
              <a:solidFill>
                <a:srgbClr val="f9f9f9"/>
              </a:solidFill>
              <a:round/>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Visualizations!$B$48:$B$57</c:f>
              <c:strCache>
                <c:ptCount val="10"/>
                <c:pt idx="0">
                  <c:v>Alice Johnson</c:v>
                </c:pt>
                <c:pt idx="1">
                  <c:v>Bob Smith</c:v>
                </c:pt>
                <c:pt idx="2">
                  <c:v>Carol Williams</c:v>
                </c:pt>
                <c:pt idx="3">
                  <c:v>David Brown</c:v>
                </c:pt>
                <c:pt idx="4">
                  <c:v>Emma Davis</c:v>
                </c:pt>
                <c:pt idx="5">
                  <c:v>Frank Miller</c:v>
                </c:pt>
                <c:pt idx="6">
                  <c:v>Grace Wilson</c:v>
                </c:pt>
                <c:pt idx="7">
                  <c:v>Henry Moore</c:v>
                </c:pt>
                <c:pt idx="8">
                  <c:v>Ivy Taylor</c:v>
                </c:pt>
                <c:pt idx="9">
                  <c:v>Jack Anderson</c:v>
                </c:pt>
              </c:strCache>
            </c:strRef>
          </c:cat>
          <c:val>
            <c:numRef>
              <c:f>Visualizations!$C$48:$C$57</c:f>
              <c:numCache>
                <c:formatCode>\$#,##0.00</c:formatCode>
                <c:ptCount val="10"/>
                <c:pt idx="0">
                  <c:v>655.16</c:v>
                </c:pt>
                <c:pt idx="1">
                  <c:v>2126.41</c:v>
                </c:pt>
                <c:pt idx="2">
                  <c:v>3371.3</c:v>
                </c:pt>
                <c:pt idx="3">
                  <c:v>1919.29</c:v>
                </c:pt>
                <c:pt idx="4">
                  <c:v>2028.12</c:v>
                </c:pt>
                <c:pt idx="5">
                  <c:v>535.13</c:v>
                </c:pt>
                <c:pt idx="6">
                  <c:v>685.78</c:v>
                </c:pt>
                <c:pt idx="7">
                  <c:v>1710.22</c:v>
                </c:pt>
                <c:pt idx="8">
                  <c:v>1005.58</c:v>
                </c:pt>
                <c:pt idx="9">
                  <c:v>916.38</c:v>
                </c:pt>
              </c:numCache>
            </c:numRef>
          </c:val>
        </c:ser>
        <c:gapWidth val="150"/>
        <c:overlap val="0"/>
        <c:axId val="58477499"/>
        <c:axId val="89437543"/>
      </c:barChart>
      <c:catAx>
        <c:axId val="58477499"/>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9437543"/>
        <c:crosses val="autoZero"/>
        <c:auto val="1"/>
        <c:lblAlgn val="ctr"/>
        <c:lblOffset val="100"/>
        <c:noMultiLvlLbl val="0"/>
      </c:catAx>
      <c:valAx>
        <c:axId val="89437543"/>
        <c:scaling>
          <c:orientation val="minMax"/>
        </c:scaling>
        <c:delete val="0"/>
        <c:axPos val="l"/>
        <c:majorGridlines>
          <c:spPr>
            <a:ln w="9360">
              <a:solidFill>
                <a:srgbClr val="878787"/>
              </a:solidFill>
              <a:round/>
            </a:ln>
          </c:spPr>
        </c:majorGridlines>
        <c:numFmt formatCode="\$#,##0.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8477499"/>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0</xdr:colOff>
      <xdr:row>2</xdr:row>
      <xdr:rowOff>131040</xdr:rowOff>
    </xdr:from>
    <xdr:to>
      <xdr:col>11</xdr:col>
      <xdr:colOff>415800</xdr:colOff>
      <xdr:row>16</xdr:row>
      <xdr:rowOff>133200</xdr:rowOff>
    </xdr:to>
    <xdr:graphicFrame>
      <xdr:nvGraphicFramePr>
        <xdr:cNvPr id="0" name="Chart 1"/>
        <xdr:cNvGraphicFramePr/>
      </xdr:nvGraphicFramePr>
      <xdr:xfrm>
        <a:off x="5074920" y="569160"/>
        <a:ext cx="4319280" cy="2869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10</xdr:row>
      <xdr:rowOff>141120</xdr:rowOff>
    </xdr:from>
    <xdr:to>
      <xdr:col>11</xdr:col>
      <xdr:colOff>415800</xdr:colOff>
      <xdr:row>25</xdr:row>
      <xdr:rowOff>102960</xdr:rowOff>
    </xdr:to>
    <xdr:graphicFrame>
      <xdr:nvGraphicFramePr>
        <xdr:cNvPr id="1" name="Chart 2"/>
        <xdr:cNvGraphicFramePr/>
      </xdr:nvGraphicFramePr>
      <xdr:xfrm>
        <a:off x="5074920" y="2274840"/>
        <a:ext cx="4319280" cy="28764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0</xdr:colOff>
      <xdr:row>21</xdr:row>
      <xdr:rowOff>111240</xdr:rowOff>
    </xdr:from>
    <xdr:to>
      <xdr:col>10</xdr:col>
      <xdr:colOff>415800</xdr:colOff>
      <xdr:row>36</xdr:row>
      <xdr:rowOff>102960</xdr:rowOff>
    </xdr:to>
    <xdr:graphicFrame>
      <xdr:nvGraphicFramePr>
        <xdr:cNvPr id="2" name="Chart 3"/>
        <xdr:cNvGraphicFramePr/>
      </xdr:nvGraphicFramePr>
      <xdr:xfrm>
        <a:off x="3383280" y="4368960"/>
        <a:ext cx="5399280" cy="28778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0</xdr:colOff>
      <xdr:row>43</xdr:row>
      <xdr:rowOff>81360</xdr:rowOff>
    </xdr:from>
    <xdr:to>
      <xdr:col>10</xdr:col>
      <xdr:colOff>181800</xdr:colOff>
      <xdr:row>62</xdr:row>
      <xdr:rowOff>31320</xdr:rowOff>
    </xdr:to>
    <xdr:graphicFrame>
      <xdr:nvGraphicFramePr>
        <xdr:cNvPr id="3" name="Chart 4"/>
        <xdr:cNvGraphicFramePr/>
      </xdr:nvGraphicFramePr>
      <xdr:xfrm>
        <a:off x="4229280" y="8558640"/>
        <a:ext cx="4319280" cy="35978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8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3" min="2" style="1" width="12"/>
    <col collapsed="false" customWidth="true" hidden="false" outlineLevel="0" max="4" min="4" style="1" width="18"/>
    <col collapsed="false" customWidth="true" hidden="false" outlineLevel="0" max="5" min="5" style="1" width="22"/>
    <col collapsed="false" customWidth="true" hidden="false" outlineLevel="0" max="6" min="6" style="1" width="12"/>
    <col collapsed="false" customWidth="true" hidden="false" outlineLevel="0" max="7" min="7" style="1" width="10"/>
    <col collapsed="false" customWidth="true" hidden="false" outlineLevel="0" max="8" min="8" style="1" width="12"/>
    <col collapsed="false" customWidth="true" hidden="false" outlineLevel="0" max="9" min="9" style="1" width="10"/>
    <col collapsed="false" customWidth="true" hidden="false" outlineLevel="0" max="10" min="10" style="1" width="12"/>
  </cols>
  <sheetData>
    <row r="1" customFormat="false" ht="19.5" hidden="false" customHeight="true" outlineLevel="0" collapsed="false">
      <c r="A1" s="2" t="s">
        <v>0</v>
      </c>
      <c r="B1" s="2"/>
      <c r="C1" s="2"/>
      <c r="D1" s="2"/>
      <c r="E1" s="2"/>
      <c r="F1" s="2"/>
      <c r="G1" s="2"/>
      <c r="H1" s="2"/>
      <c r="I1" s="2"/>
      <c r="J1" s="2"/>
    </row>
    <row r="2" customFormat="false" ht="15" hidden="false" customHeight="true" outlineLevel="0" collapsed="false">
      <c r="A2" s="3" t="s">
        <v>1</v>
      </c>
      <c r="B2" s="3"/>
      <c r="C2" s="3"/>
      <c r="D2" s="3"/>
      <c r="E2" s="3"/>
      <c r="F2" s="3"/>
      <c r="G2" s="3"/>
      <c r="H2" s="3"/>
      <c r="I2" s="3"/>
      <c r="J2" s="3"/>
    </row>
    <row r="4" customFormat="false" ht="26.25" hidden="false" customHeight="true" outlineLevel="0" collapsed="false">
      <c r="A4" s="4" t="s">
        <v>2</v>
      </c>
      <c r="B4" s="4" t="s">
        <v>3</v>
      </c>
      <c r="C4" s="4" t="s">
        <v>4</v>
      </c>
      <c r="D4" s="4" t="s">
        <v>5</v>
      </c>
      <c r="E4" s="4" t="s">
        <v>6</v>
      </c>
      <c r="F4" s="4" t="s">
        <v>7</v>
      </c>
      <c r="G4" s="4" t="s">
        <v>8</v>
      </c>
      <c r="H4" s="4" t="s">
        <v>9</v>
      </c>
      <c r="I4" s="4" t="s">
        <v>10</v>
      </c>
      <c r="J4" s="4" t="s">
        <v>11</v>
      </c>
    </row>
    <row r="5" customFormat="false" ht="15" hidden="false" customHeight="true" outlineLevel="0" collapsed="false">
      <c r="A5" s="5" t="s">
        <v>12</v>
      </c>
      <c r="B5" s="6" t="n">
        <v>45383</v>
      </c>
      <c r="C5" s="5" t="s">
        <v>13</v>
      </c>
      <c r="D5" s="7" t="s">
        <v>14</v>
      </c>
      <c r="E5" s="7" t="s">
        <v>15</v>
      </c>
      <c r="F5" s="7" t="s">
        <v>16</v>
      </c>
      <c r="G5" s="5" t="n">
        <v>3</v>
      </c>
      <c r="H5" s="8" t="n">
        <v>24.27</v>
      </c>
      <c r="I5" s="5" t="s">
        <v>17</v>
      </c>
      <c r="J5" s="9" t="n">
        <f aca="false">G5*H5</f>
        <v>72.81</v>
      </c>
    </row>
    <row r="6" customFormat="false" ht="15" hidden="false" customHeight="true" outlineLevel="0" collapsed="false">
      <c r="A6" s="5" t="s">
        <v>18</v>
      </c>
      <c r="B6" s="6" t="n">
        <v>45386</v>
      </c>
      <c r="C6" s="5" t="s">
        <v>19</v>
      </c>
      <c r="D6" s="7" t="s">
        <v>20</v>
      </c>
      <c r="E6" s="7" t="s">
        <v>21</v>
      </c>
      <c r="F6" s="7" t="s">
        <v>16</v>
      </c>
      <c r="G6" s="5" t="n">
        <v>3</v>
      </c>
      <c r="H6" s="8" t="n">
        <v>35.91</v>
      </c>
      <c r="I6" s="5" t="s">
        <v>22</v>
      </c>
      <c r="J6" s="9" t="n">
        <f aca="false">G6*H6</f>
        <v>107.73</v>
      </c>
    </row>
    <row r="7" customFormat="false" ht="15" hidden="false" customHeight="true" outlineLevel="0" collapsed="false">
      <c r="A7" s="5" t="s">
        <v>23</v>
      </c>
      <c r="B7" s="6" t="n">
        <v>45390</v>
      </c>
      <c r="C7" s="5" t="s">
        <v>24</v>
      </c>
      <c r="D7" s="7" t="s">
        <v>25</v>
      </c>
      <c r="E7" s="7" t="s">
        <v>26</v>
      </c>
      <c r="F7" s="7" t="s">
        <v>27</v>
      </c>
      <c r="G7" s="5" t="n">
        <v>1</v>
      </c>
      <c r="H7" s="8" t="n">
        <v>38.91</v>
      </c>
      <c r="I7" s="5" t="s">
        <v>28</v>
      </c>
      <c r="J7" s="9" t="n">
        <f aca="false">G7*H7</f>
        <v>38.91</v>
      </c>
    </row>
    <row r="8" customFormat="false" ht="15" hidden="false" customHeight="true" outlineLevel="0" collapsed="false">
      <c r="A8" s="5" t="s">
        <v>29</v>
      </c>
      <c r="B8" s="6" t="n">
        <v>45392</v>
      </c>
      <c r="C8" s="5" t="s">
        <v>30</v>
      </c>
      <c r="D8" s="7" t="s">
        <v>31</v>
      </c>
      <c r="E8" s="7" t="s">
        <v>15</v>
      </c>
      <c r="F8" s="7" t="s">
        <v>16</v>
      </c>
      <c r="G8" s="5" t="n">
        <v>1</v>
      </c>
      <c r="H8" s="8" t="n">
        <v>26.1</v>
      </c>
      <c r="I8" s="5" t="s">
        <v>28</v>
      </c>
      <c r="J8" s="9" t="n">
        <f aca="false">G8*H8</f>
        <v>26.1</v>
      </c>
    </row>
    <row r="9" customFormat="false" ht="15" hidden="false" customHeight="true" outlineLevel="0" collapsed="false">
      <c r="A9" s="5" t="s">
        <v>32</v>
      </c>
      <c r="B9" s="6" t="n">
        <v>45393</v>
      </c>
      <c r="C9" s="5" t="s">
        <v>33</v>
      </c>
      <c r="D9" s="7" t="s">
        <v>34</v>
      </c>
      <c r="E9" s="7" t="s">
        <v>15</v>
      </c>
      <c r="F9" s="7" t="s">
        <v>16</v>
      </c>
      <c r="G9" s="5" t="n">
        <v>5</v>
      </c>
      <c r="H9" s="8" t="n">
        <v>23.95</v>
      </c>
      <c r="I9" s="5" t="s">
        <v>35</v>
      </c>
      <c r="J9" s="9" t="n">
        <f aca="false">G9*H9</f>
        <v>119.75</v>
      </c>
    </row>
    <row r="10" customFormat="false" ht="15" hidden="false" customHeight="true" outlineLevel="0" collapsed="false">
      <c r="A10" s="5" t="s">
        <v>36</v>
      </c>
      <c r="B10" s="6" t="n">
        <v>45403</v>
      </c>
      <c r="C10" s="5" t="s">
        <v>37</v>
      </c>
      <c r="D10" s="7" t="s">
        <v>38</v>
      </c>
      <c r="E10" s="7" t="s">
        <v>39</v>
      </c>
      <c r="F10" s="7" t="s">
        <v>40</v>
      </c>
      <c r="G10" s="5" t="n">
        <v>5</v>
      </c>
      <c r="H10" s="8" t="n">
        <v>54.86</v>
      </c>
      <c r="I10" s="5" t="s">
        <v>41</v>
      </c>
      <c r="J10" s="9" t="n">
        <f aca="false">G10*H10</f>
        <v>274.3</v>
      </c>
    </row>
    <row r="11" customFormat="false" ht="15" hidden="false" customHeight="true" outlineLevel="0" collapsed="false">
      <c r="A11" s="5" t="s">
        <v>42</v>
      </c>
      <c r="B11" s="6" t="n">
        <v>45408</v>
      </c>
      <c r="C11" s="5" t="s">
        <v>43</v>
      </c>
      <c r="D11" s="7" t="s">
        <v>44</v>
      </c>
      <c r="E11" s="7" t="s">
        <v>45</v>
      </c>
      <c r="F11" s="7" t="s">
        <v>46</v>
      </c>
      <c r="G11" s="5" t="n">
        <v>3</v>
      </c>
      <c r="H11" s="8" t="n">
        <v>87.5</v>
      </c>
      <c r="I11" s="5" t="s">
        <v>35</v>
      </c>
      <c r="J11" s="9" t="n">
        <f aca="false">G11*H11</f>
        <v>262.5</v>
      </c>
    </row>
    <row r="12" customFormat="false" ht="15" hidden="false" customHeight="true" outlineLevel="0" collapsed="false">
      <c r="A12" s="5" t="s">
        <v>47</v>
      </c>
      <c r="B12" s="6" t="n">
        <v>45410</v>
      </c>
      <c r="C12" s="5" t="s">
        <v>13</v>
      </c>
      <c r="D12" s="7" t="s">
        <v>14</v>
      </c>
      <c r="E12" s="7" t="s">
        <v>39</v>
      </c>
      <c r="F12" s="7" t="s">
        <v>40</v>
      </c>
      <c r="G12" s="5" t="n">
        <v>1</v>
      </c>
      <c r="H12" s="8" t="n">
        <v>52.99</v>
      </c>
      <c r="I12" s="5" t="s">
        <v>41</v>
      </c>
      <c r="J12" s="9" t="n">
        <f aca="false">G12*H12</f>
        <v>52.99</v>
      </c>
    </row>
    <row r="13" customFormat="false" ht="15" hidden="false" customHeight="true" outlineLevel="0" collapsed="false">
      <c r="A13" s="5" t="s">
        <v>48</v>
      </c>
      <c r="B13" s="6" t="n">
        <v>45412</v>
      </c>
      <c r="C13" s="5" t="s">
        <v>49</v>
      </c>
      <c r="D13" s="7" t="s">
        <v>50</v>
      </c>
      <c r="E13" s="7" t="s">
        <v>51</v>
      </c>
      <c r="F13" s="7" t="s">
        <v>52</v>
      </c>
      <c r="G13" s="5" t="n">
        <v>1</v>
      </c>
      <c r="H13" s="8" t="n">
        <v>9.26</v>
      </c>
      <c r="I13" s="5" t="s">
        <v>17</v>
      </c>
      <c r="J13" s="9" t="n">
        <f aca="false">G13*H13</f>
        <v>9.26</v>
      </c>
    </row>
    <row r="14" customFormat="false" ht="15" hidden="false" customHeight="true" outlineLevel="0" collapsed="false">
      <c r="A14" s="5" t="s">
        <v>53</v>
      </c>
      <c r="B14" s="6" t="n">
        <v>45414</v>
      </c>
      <c r="C14" s="5" t="s">
        <v>43</v>
      </c>
      <c r="D14" s="7" t="s">
        <v>44</v>
      </c>
      <c r="E14" s="7" t="s">
        <v>54</v>
      </c>
      <c r="F14" s="7" t="s">
        <v>46</v>
      </c>
      <c r="G14" s="5" t="n">
        <v>2</v>
      </c>
      <c r="H14" s="8" t="n">
        <v>31.01</v>
      </c>
      <c r="I14" s="5" t="s">
        <v>35</v>
      </c>
      <c r="J14" s="9" t="n">
        <f aca="false">G14*H14</f>
        <v>62.02</v>
      </c>
    </row>
    <row r="15" customFormat="false" ht="15" hidden="false" customHeight="true" outlineLevel="0" collapsed="false">
      <c r="A15" s="5" t="s">
        <v>55</v>
      </c>
      <c r="B15" s="6" t="n">
        <v>45419</v>
      </c>
      <c r="C15" s="5" t="s">
        <v>49</v>
      </c>
      <c r="D15" s="7" t="s">
        <v>50</v>
      </c>
      <c r="E15" s="7" t="s">
        <v>56</v>
      </c>
      <c r="F15" s="7" t="s">
        <v>46</v>
      </c>
      <c r="G15" s="5" t="n">
        <v>3</v>
      </c>
      <c r="H15" s="8" t="n">
        <v>351.83</v>
      </c>
      <c r="I15" s="5" t="s">
        <v>22</v>
      </c>
      <c r="J15" s="9" t="n">
        <f aca="false">G15*H15</f>
        <v>1055.49</v>
      </c>
    </row>
    <row r="16" customFormat="false" ht="15" hidden="false" customHeight="true" outlineLevel="0" collapsed="false">
      <c r="A16" s="5" t="s">
        <v>57</v>
      </c>
      <c r="B16" s="6" t="n">
        <v>45420</v>
      </c>
      <c r="C16" s="5" t="s">
        <v>58</v>
      </c>
      <c r="D16" s="7" t="s">
        <v>59</v>
      </c>
      <c r="E16" s="7" t="s">
        <v>60</v>
      </c>
      <c r="F16" s="7" t="s">
        <v>61</v>
      </c>
      <c r="G16" s="5" t="n">
        <v>4</v>
      </c>
      <c r="H16" s="8" t="n">
        <v>58.88</v>
      </c>
      <c r="I16" s="5" t="s">
        <v>28</v>
      </c>
      <c r="J16" s="9" t="n">
        <f aca="false">G16*H16</f>
        <v>235.52</v>
      </c>
    </row>
    <row r="17" customFormat="false" ht="15" hidden="false" customHeight="true" outlineLevel="0" collapsed="false">
      <c r="A17" s="5" t="s">
        <v>62</v>
      </c>
      <c r="B17" s="6" t="n">
        <v>45423</v>
      </c>
      <c r="C17" s="5" t="s">
        <v>63</v>
      </c>
      <c r="D17" s="7" t="s">
        <v>64</v>
      </c>
      <c r="E17" s="7" t="s">
        <v>65</v>
      </c>
      <c r="F17" s="7" t="s">
        <v>40</v>
      </c>
      <c r="G17" s="5" t="n">
        <v>4</v>
      </c>
      <c r="H17" s="8" t="n">
        <v>20.2</v>
      </c>
      <c r="I17" s="5" t="s">
        <v>17</v>
      </c>
      <c r="J17" s="9" t="n">
        <f aca="false">G17*H17</f>
        <v>80.8</v>
      </c>
    </row>
    <row r="18" customFormat="false" ht="15" hidden="false" customHeight="true" outlineLevel="0" collapsed="false">
      <c r="A18" s="5" t="s">
        <v>66</v>
      </c>
      <c r="B18" s="6" t="n">
        <v>45424</v>
      </c>
      <c r="C18" s="5" t="s">
        <v>37</v>
      </c>
      <c r="D18" s="7" t="s">
        <v>38</v>
      </c>
      <c r="E18" s="7" t="s">
        <v>67</v>
      </c>
      <c r="F18" s="7" t="s">
        <v>52</v>
      </c>
      <c r="G18" s="5" t="n">
        <v>2</v>
      </c>
      <c r="H18" s="8" t="n">
        <v>13.01</v>
      </c>
      <c r="I18" s="5" t="s">
        <v>41</v>
      </c>
      <c r="J18" s="9" t="n">
        <f aca="false">G18*H18</f>
        <v>26.02</v>
      </c>
    </row>
    <row r="19" customFormat="false" ht="15" hidden="false" customHeight="true" outlineLevel="0" collapsed="false">
      <c r="A19" s="5" t="s">
        <v>68</v>
      </c>
      <c r="B19" s="6" t="n">
        <v>45425</v>
      </c>
      <c r="C19" s="5" t="s">
        <v>30</v>
      </c>
      <c r="D19" s="7" t="s">
        <v>31</v>
      </c>
      <c r="E19" s="7" t="s">
        <v>56</v>
      </c>
      <c r="F19" s="7" t="s">
        <v>46</v>
      </c>
      <c r="G19" s="5" t="n">
        <v>3</v>
      </c>
      <c r="H19" s="8" t="n">
        <v>363.95</v>
      </c>
      <c r="I19" s="5" t="s">
        <v>17</v>
      </c>
      <c r="J19" s="9" t="n">
        <f aca="false">G19*H19</f>
        <v>1091.85</v>
      </c>
    </row>
    <row r="20" customFormat="false" ht="15" hidden="false" customHeight="true" outlineLevel="0" collapsed="false">
      <c r="A20" s="5" t="s">
        <v>69</v>
      </c>
      <c r="B20" s="6" t="n">
        <v>45425</v>
      </c>
      <c r="C20" s="5" t="s">
        <v>70</v>
      </c>
      <c r="D20" s="7" t="s">
        <v>71</v>
      </c>
      <c r="E20" s="7" t="s">
        <v>39</v>
      </c>
      <c r="F20" s="7" t="s">
        <v>40</v>
      </c>
      <c r="G20" s="5" t="n">
        <v>3</v>
      </c>
      <c r="H20" s="8" t="n">
        <v>54.6</v>
      </c>
      <c r="I20" s="5" t="s">
        <v>22</v>
      </c>
      <c r="J20" s="9" t="n">
        <f aca="false">G20*H20</f>
        <v>163.8</v>
      </c>
    </row>
    <row r="21" customFormat="false" ht="15" hidden="false" customHeight="true" outlineLevel="0" collapsed="false">
      <c r="A21" s="5" t="s">
        <v>72</v>
      </c>
      <c r="B21" s="6" t="n">
        <v>45434</v>
      </c>
      <c r="C21" s="5" t="s">
        <v>73</v>
      </c>
      <c r="D21" s="7" t="s">
        <v>74</v>
      </c>
      <c r="E21" s="7" t="s">
        <v>75</v>
      </c>
      <c r="F21" s="7" t="s">
        <v>27</v>
      </c>
      <c r="G21" s="5" t="n">
        <v>3</v>
      </c>
      <c r="H21" s="8" t="n">
        <v>245.67</v>
      </c>
      <c r="I21" s="5" t="s">
        <v>41</v>
      </c>
      <c r="J21" s="9" t="n">
        <f aca="false">G21*H21</f>
        <v>737.01</v>
      </c>
    </row>
    <row r="22" customFormat="false" ht="15" hidden="false" customHeight="true" outlineLevel="0" collapsed="false">
      <c r="A22" s="5" t="s">
        <v>76</v>
      </c>
      <c r="B22" s="6" t="n">
        <v>45437</v>
      </c>
      <c r="C22" s="5" t="s">
        <v>63</v>
      </c>
      <c r="D22" s="7" t="s">
        <v>64</v>
      </c>
      <c r="E22" s="7" t="s">
        <v>39</v>
      </c>
      <c r="F22" s="7" t="s">
        <v>40</v>
      </c>
      <c r="G22" s="5" t="n">
        <v>2</v>
      </c>
      <c r="H22" s="8" t="n">
        <v>56.7</v>
      </c>
      <c r="I22" s="5" t="s">
        <v>35</v>
      </c>
      <c r="J22" s="9" t="n">
        <f aca="false">G22*H22</f>
        <v>113.4</v>
      </c>
    </row>
    <row r="23" customFormat="false" ht="15" hidden="false" customHeight="true" outlineLevel="0" collapsed="false">
      <c r="A23" s="5" t="s">
        <v>77</v>
      </c>
      <c r="B23" s="6" t="n">
        <v>45445</v>
      </c>
      <c r="C23" s="5" t="s">
        <v>78</v>
      </c>
      <c r="D23" s="7" t="s">
        <v>79</v>
      </c>
      <c r="E23" s="7" t="s">
        <v>39</v>
      </c>
      <c r="F23" s="7" t="s">
        <v>40</v>
      </c>
      <c r="G23" s="5" t="n">
        <v>3</v>
      </c>
      <c r="H23" s="8" t="n">
        <v>52.52</v>
      </c>
      <c r="I23" s="5" t="s">
        <v>28</v>
      </c>
      <c r="J23" s="9" t="n">
        <f aca="false">G23*H23</f>
        <v>157.56</v>
      </c>
    </row>
    <row r="24" customFormat="false" ht="15" hidden="false" customHeight="true" outlineLevel="0" collapsed="false">
      <c r="A24" s="5" t="s">
        <v>80</v>
      </c>
      <c r="B24" s="6" t="n">
        <v>45446</v>
      </c>
      <c r="C24" s="5" t="s">
        <v>73</v>
      </c>
      <c r="D24" s="7" t="s">
        <v>74</v>
      </c>
      <c r="E24" s="7" t="s">
        <v>81</v>
      </c>
      <c r="F24" s="7" t="s">
        <v>61</v>
      </c>
      <c r="G24" s="5" t="n">
        <v>2</v>
      </c>
      <c r="H24" s="8" t="n">
        <v>98.88</v>
      </c>
      <c r="I24" s="5" t="s">
        <v>41</v>
      </c>
      <c r="J24" s="9" t="n">
        <f aca="false">G24*H24</f>
        <v>197.76</v>
      </c>
    </row>
    <row r="25" customFormat="false" ht="15" hidden="false" customHeight="true" outlineLevel="0" collapsed="false">
      <c r="A25" s="5" t="s">
        <v>82</v>
      </c>
      <c r="B25" s="6" t="n">
        <v>45448</v>
      </c>
      <c r="C25" s="5" t="s">
        <v>30</v>
      </c>
      <c r="D25" s="7" t="s">
        <v>31</v>
      </c>
      <c r="E25" s="7" t="s">
        <v>65</v>
      </c>
      <c r="F25" s="7" t="s">
        <v>40</v>
      </c>
      <c r="G25" s="5" t="n">
        <v>4</v>
      </c>
      <c r="H25" s="8" t="n">
        <v>20.18</v>
      </c>
      <c r="I25" s="5" t="s">
        <v>41</v>
      </c>
      <c r="J25" s="9" t="n">
        <f aca="false">G25*H25</f>
        <v>80.72</v>
      </c>
    </row>
    <row r="26" customFormat="false" ht="15" hidden="false" customHeight="true" outlineLevel="0" collapsed="false">
      <c r="A26" s="5" t="s">
        <v>83</v>
      </c>
      <c r="B26" s="6" t="n">
        <v>45448</v>
      </c>
      <c r="C26" s="5" t="s">
        <v>84</v>
      </c>
      <c r="D26" s="7" t="s">
        <v>85</v>
      </c>
      <c r="E26" s="7" t="s">
        <v>86</v>
      </c>
      <c r="F26" s="7" t="s">
        <v>27</v>
      </c>
      <c r="G26" s="5" t="n">
        <v>4</v>
      </c>
      <c r="H26" s="8" t="n">
        <v>393.23</v>
      </c>
      <c r="I26" s="5" t="s">
        <v>41</v>
      </c>
      <c r="J26" s="9" t="n">
        <f aca="false">G26*H26</f>
        <v>1572.92</v>
      </c>
    </row>
    <row r="27" customFormat="false" ht="15" hidden="false" customHeight="true" outlineLevel="0" collapsed="false">
      <c r="A27" s="5" t="s">
        <v>87</v>
      </c>
      <c r="B27" s="6" t="n">
        <v>45453</v>
      </c>
      <c r="C27" s="5" t="s">
        <v>63</v>
      </c>
      <c r="D27" s="7" t="s">
        <v>64</v>
      </c>
      <c r="E27" s="7" t="s">
        <v>75</v>
      </c>
      <c r="F27" s="7" t="s">
        <v>27</v>
      </c>
      <c r="G27" s="5" t="n">
        <v>5</v>
      </c>
      <c r="H27" s="8" t="n">
        <v>254.37</v>
      </c>
      <c r="I27" s="5" t="s">
        <v>28</v>
      </c>
      <c r="J27" s="9" t="n">
        <f aca="false">G27*H27</f>
        <v>1271.85</v>
      </c>
    </row>
    <row r="28" customFormat="false" ht="15" hidden="false" customHeight="true" outlineLevel="0" collapsed="false">
      <c r="A28" s="5" t="s">
        <v>88</v>
      </c>
      <c r="B28" s="6" t="n">
        <v>45453</v>
      </c>
      <c r="C28" s="5" t="s">
        <v>78</v>
      </c>
      <c r="D28" s="7" t="s">
        <v>79</v>
      </c>
      <c r="E28" s="7" t="s">
        <v>65</v>
      </c>
      <c r="F28" s="7" t="s">
        <v>40</v>
      </c>
      <c r="G28" s="5" t="n">
        <v>2</v>
      </c>
      <c r="H28" s="8" t="n">
        <v>20.98</v>
      </c>
      <c r="I28" s="5" t="s">
        <v>17</v>
      </c>
      <c r="J28" s="9" t="n">
        <f aca="false">G28*H28</f>
        <v>41.96</v>
      </c>
    </row>
    <row r="29" customFormat="false" ht="15" hidden="false" customHeight="true" outlineLevel="0" collapsed="false">
      <c r="A29" s="5" t="s">
        <v>89</v>
      </c>
      <c r="B29" s="6" t="n">
        <v>45457</v>
      </c>
      <c r="C29" s="5" t="s">
        <v>90</v>
      </c>
      <c r="D29" s="7" t="s">
        <v>91</v>
      </c>
      <c r="E29" s="7" t="s">
        <v>65</v>
      </c>
      <c r="F29" s="7" t="s">
        <v>40</v>
      </c>
      <c r="G29" s="5" t="n">
        <v>4</v>
      </c>
      <c r="H29" s="8" t="n">
        <v>20.76</v>
      </c>
      <c r="I29" s="5" t="s">
        <v>41</v>
      </c>
      <c r="J29" s="9" t="n">
        <f aca="false">G29*H29</f>
        <v>83.04</v>
      </c>
    </row>
    <row r="30" customFormat="false" ht="15" hidden="false" customHeight="true" outlineLevel="0" collapsed="false">
      <c r="A30" s="5" t="s">
        <v>92</v>
      </c>
      <c r="B30" s="6" t="n">
        <v>45463</v>
      </c>
      <c r="C30" s="5" t="s">
        <v>93</v>
      </c>
      <c r="D30" s="7" t="s">
        <v>94</v>
      </c>
      <c r="E30" s="7" t="s">
        <v>60</v>
      </c>
      <c r="F30" s="7" t="s">
        <v>61</v>
      </c>
      <c r="G30" s="5" t="n">
        <v>5</v>
      </c>
      <c r="H30" s="8" t="n">
        <v>61.97</v>
      </c>
      <c r="I30" s="5" t="s">
        <v>17</v>
      </c>
      <c r="J30" s="9" t="n">
        <f aca="false">G30*H30</f>
        <v>309.85</v>
      </c>
    </row>
    <row r="31" customFormat="false" ht="15" hidden="false" customHeight="true" outlineLevel="0" collapsed="false">
      <c r="A31" s="5" t="s">
        <v>95</v>
      </c>
      <c r="B31" s="6" t="n">
        <v>45463</v>
      </c>
      <c r="C31" s="5" t="s">
        <v>96</v>
      </c>
      <c r="D31" s="7" t="s">
        <v>97</v>
      </c>
      <c r="E31" s="7" t="s">
        <v>39</v>
      </c>
      <c r="F31" s="7" t="s">
        <v>40</v>
      </c>
      <c r="G31" s="5" t="n">
        <v>1</v>
      </c>
      <c r="H31" s="8" t="n">
        <v>56.73</v>
      </c>
      <c r="I31" s="5" t="s">
        <v>41</v>
      </c>
      <c r="J31" s="9" t="n">
        <f aca="false">G31*H31</f>
        <v>56.73</v>
      </c>
    </row>
    <row r="32" customFormat="false" ht="15" hidden="false" customHeight="true" outlineLevel="0" collapsed="false">
      <c r="A32" s="5" t="s">
        <v>98</v>
      </c>
      <c r="B32" s="6" t="n">
        <v>45464</v>
      </c>
      <c r="C32" s="5" t="s">
        <v>37</v>
      </c>
      <c r="D32" s="7" t="s">
        <v>38</v>
      </c>
      <c r="E32" s="7" t="s">
        <v>51</v>
      </c>
      <c r="F32" s="7" t="s">
        <v>52</v>
      </c>
      <c r="G32" s="5" t="n">
        <v>2</v>
      </c>
      <c r="H32" s="8" t="n">
        <v>8.88</v>
      </c>
      <c r="I32" s="5" t="s">
        <v>28</v>
      </c>
      <c r="J32" s="9" t="n">
        <f aca="false">G32*H32</f>
        <v>17.76</v>
      </c>
    </row>
    <row r="33" customFormat="false" ht="15" hidden="false" customHeight="true" outlineLevel="0" collapsed="false">
      <c r="A33" s="5" t="s">
        <v>99</v>
      </c>
      <c r="B33" s="6" t="n">
        <v>45466</v>
      </c>
      <c r="C33" s="5" t="s">
        <v>78</v>
      </c>
      <c r="D33" s="7" t="s">
        <v>79</v>
      </c>
      <c r="E33" s="7" t="s">
        <v>65</v>
      </c>
      <c r="F33" s="7" t="s">
        <v>40</v>
      </c>
      <c r="G33" s="5" t="n">
        <v>4</v>
      </c>
      <c r="H33" s="8" t="n">
        <v>20.12</v>
      </c>
      <c r="I33" s="5" t="s">
        <v>22</v>
      </c>
      <c r="J33" s="9" t="n">
        <f aca="false">G33*H33</f>
        <v>80.48</v>
      </c>
    </row>
    <row r="34" customFormat="false" ht="15" hidden="false" customHeight="true" outlineLevel="0" collapsed="false">
      <c r="A34" s="5" t="s">
        <v>100</v>
      </c>
      <c r="B34" s="6" t="n">
        <v>45472</v>
      </c>
      <c r="C34" s="5" t="s">
        <v>101</v>
      </c>
      <c r="D34" s="7" t="s">
        <v>102</v>
      </c>
      <c r="E34" s="7" t="s">
        <v>45</v>
      </c>
      <c r="F34" s="7" t="s">
        <v>46</v>
      </c>
      <c r="G34" s="5" t="n">
        <v>5</v>
      </c>
      <c r="H34" s="8" t="n">
        <v>85.78</v>
      </c>
      <c r="I34" s="5" t="s">
        <v>41</v>
      </c>
      <c r="J34" s="9" t="n">
        <f aca="false">G34*H34</f>
        <v>428.9</v>
      </c>
    </row>
    <row r="35" customFormat="false" ht="15" hidden="false" customHeight="true" outlineLevel="0" collapsed="false">
      <c r="A35" s="5" t="s">
        <v>103</v>
      </c>
      <c r="B35" s="6" t="n">
        <v>45477</v>
      </c>
      <c r="C35" s="5" t="s">
        <v>96</v>
      </c>
      <c r="D35" s="7" t="s">
        <v>97</v>
      </c>
      <c r="E35" s="7" t="s">
        <v>54</v>
      </c>
      <c r="F35" s="7" t="s">
        <v>46</v>
      </c>
      <c r="G35" s="5" t="n">
        <v>4</v>
      </c>
      <c r="H35" s="8" t="n">
        <v>28.62</v>
      </c>
      <c r="I35" s="5" t="s">
        <v>17</v>
      </c>
      <c r="J35" s="9" t="n">
        <f aca="false">G35*H35</f>
        <v>114.48</v>
      </c>
    </row>
    <row r="36" customFormat="false" ht="15" hidden="false" customHeight="true" outlineLevel="0" collapsed="false">
      <c r="A36" s="5" t="s">
        <v>104</v>
      </c>
      <c r="B36" s="6" t="n">
        <v>45478</v>
      </c>
      <c r="C36" s="5" t="s">
        <v>105</v>
      </c>
      <c r="D36" s="7" t="s">
        <v>106</v>
      </c>
      <c r="E36" s="7" t="s">
        <v>107</v>
      </c>
      <c r="F36" s="7" t="s">
        <v>46</v>
      </c>
      <c r="G36" s="5" t="n">
        <v>2</v>
      </c>
      <c r="H36" s="8" t="n">
        <v>1286.84</v>
      </c>
      <c r="I36" s="5" t="s">
        <v>35</v>
      </c>
      <c r="J36" s="9" t="n">
        <f aca="false">G36*H36</f>
        <v>2573.68</v>
      </c>
    </row>
    <row r="37" customFormat="false" ht="15" hidden="false" customHeight="true" outlineLevel="0" collapsed="false">
      <c r="A37" s="5" t="s">
        <v>108</v>
      </c>
      <c r="B37" s="6" t="n">
        <v>45478</v>
      </c>
      <c r="C37" s="5" t="s">
        <v>105</v>
      </c>
      <c r="D37" s="7" t="s">
        <v>106</v>
      </c>
      <c r="E37" s="7" t="s">
        <v>81</v>
      </c>
      <c r="F37" s="7" t="s">
        <v>61</v>
      </c>
      <c r="G37" s="5" t="n">
        <v>2</v>
      </c>
      <c r="H37" s="8" t="n">
        <v>99.6</v>
      </c>
      <c r="I37" s="5" t="s">
        <v>28</v>
      </c>
      <c r="J37" s="9" t="n">
        <f aca="false">G37*H37</f>
        <v>199.2</v>
      </c>
    </row>
    <row r="38" customFormat="false" ht="15" hidden="false" customHeight="true" outlineLevel="0" collapsed="false">
      <c r="A38" s="5" t="s">
        <v>109</v>
      </c>
      <c r="B38" s="6" t="n">
        <v>45482</v>
      </c>
      <c r="C38" s="5" t="s">
        <v>110</v>
      </c>
      <c r="D38" s="7" t="s">
        <v>111</v>
      </c>
      <c r="E38" s="7" t="s">
        <v>45</v>
      </c>
      <c r="F38" s="7" t="s">
        <v>46</v>
      </c>
      <c r="G38" s="5" t="n">
        <v>4</v>
      </c>
      <c r="H38" s="8" t="n">
        <v>89.3</v>
      </c>
      <c r="I38" s="5" t="s">
        <v>17</v>
      </c>
      <c r="J38" s="9" t="n">
        <f aca="false">G38*H38</f>
        <v>357.2</v>
      </c>
    </row>
    <row r="39" customFormat="false" ht="15" hidden="false" customHeight="true" outlineLevel="0" collapsed="false">
      <c r="A39" s="5" t="s">
        <v>112</v>
      </c>
      <c r="B39" s="6" t="n">
        <v>45483</v>
      </c>
      <c r="C39" s="5" t="s">
        <v>73</v>
      </c>
      <c r="D39" s="7" t="s">
        <v>74</v>
      </c>
      <c r="E39" s="7" t="s">
        <v>54</v>
      </c>
      <c r="F39" s="7" t="s">
        <v>46</v>
      </c>
      <c r="G39" s="5" t="n">
        <v>1</v>
      </c>
      <c r="H39" s="8" t="n">
        <v>30.67</v>
      </c>
      <c r="I39" s="5" t="s">
        <v>41</v>
      </c>
      <c r="J39" s="9" t="n">
        <f aca="false">G39*H39</f>
        <v>30.67</v>
      </c>
    </row>
    <row r="40" customFormat="false" ht="15" hidden="false" customHeight="true" outlineLevel="0" collapsed="false">
      <c r="A40" s="5" t="s">
        <v>113</v>
      </c>
      <c r="B40" s="6" t="n">
        <v>45485</v>
      </c>
      <c r="C40" s="5" t="s">
        <v>114</v>
      </c>
      <c r="D40" s="7" t="s">
        <v>115</v>
      </c>
      <c r="E40" s="7" t="s">
        <v>39</v>
      </c>
      <c r="F40" s="7" t="s">
        <v>40</v>
      </c>
      <c r="G40" s="5" t="n">
        <v>1</v>
      </c>
      <c r="H40" s="8" t="n">
        <v>53.41</v>
      </c>
      <c r="I40" s="5" t="s">
        <v>22</v>
      </c>
      <c r="J40" s="9" t="n">
        <f aca="false">G40*H40</f>
        <v>53.41</v>
      </c>
    </row>
    <row r="41" customFormat="false" ht="15" hidden="false" customHeight="true" outlineLevel="0" collapsed="false">
      <c r="A41" s="5" t="s">
        <v>116</v>
      </c>
      <c r="B41" s="6" t="n">
        <v>45485</v>
      </c>
      <c r="C41" s="5" t="s">
        <v>117</v>
      </c>
      <c r="D41" s="7" t="s">
        <v>118</v>
      </c>
      <c r="E41" s="7" t="s">
        <v>21</v>
      </c>
      <c r="F41" s="7" t="s">
        <v>16</v>
      </c>
      <c r="G41" s="5" t="n">
        <v>5</v>
      </c>
      <c r="H41" s="8" t="n">
        <v>33.29</v>
      </c>
      <c r="I41" s="5" t="s">
        <v>41</v>
      </c>
      <c r="J41" s="9" t="n">
        <f aca="false">G41*H41</f>
        <v>166.45</v>
      </c>
    </row>
    <row r="42" customFormat="false" ht="15" hidden="false" customHeight="true" outlineLevel="0" collapsed="false">
      <c r="A42" s="5" t="s">
        <v>119</v>
      </c>
      <c r="B42" s="6" t="n">
        <v>45487</v>
      </c>
      <c r="C42" s="5" t="s">
        <v>110</v>
      </c>
      <c r="D42" s="7" t="s">
        <v>111</v>
      </c>
      <c r="E42" s="7" t="s">
        <v>120</v>
      </c>
      <c r="F42" s="7" t="s">
        <v>52</v>
      </c>
      <c r="G42" s="5" t="n">
        <v>1</v>
      </c>
      <c r="H42" s="8" t="n">
        <v>6.23</v>
      </c>
      <c r="I42" s="5" t="s">
        <v>41</v>
      </c>
      <c r="J42" s="9" t="n">
        <f aca="false">G42*H42</f>
        <v>6.23</v>
      </c>
    </row>
    <row r="43" customFormat="false" ht="15" hidden="false" customHeight="true" outlineLevel="0" collapsed="false">
      <c r="A43" s="5" t="s">
        <v>121</v>
      </c>
      <c r="B43" s="6" t="n">
        <v>45487</v>
      </c>
      <c r="C43" s="5" t="s">
        <v>49</v>
      </c>
      <c r="D43" s="7" t="s">
        <v>50</v>
      </c>
      <c r="E43" s="7" t="s">
        <v>26</v>
      </c>
      <c r="F43" s="7" t="s">
        <v>27</v>
      </c>
      <c r="G43" s="5" t="n">
        <v>3</v>
      </c>
      <c r="H43" s="8" t="n">
        <v>41.21</v>
      </c>
      <c r="I43" s="5" t="s">
        <v>22</v>
      </c>
      <c r="J43" s="9" t="n">
        <f aca="false">G43*H43</f>
        <v>123.63</v>
      </c>
    </row>
    <row r="44" customFormat="false" ht="15" hidden="false" customHeight="true" outlineLevel="0" collapsed="false">
      <c r="A44" s="5" t="s">
        <v>122</v>
      </c>
      <c r="B44" s="6" t="n">
        <v>45491</v>
      </c>
      <c r="C44" s="5" t="s">
        <v>123</v>
      </c>
      <c r="D44" s="7" t="s">
        <v>124</v>
      </c>
      <c r="E44" s="7" t="s">
        <v>125</v>
      </c>
      <c r="F44" s="7" t="s">
        <v>16</v>
      </c>
      <c r="G44" s="5" t="n">
        <v>4</v>
      </c>
      <c r="H44" s="8" t="n">
        <v>70.94</v>
      </c>
      <c r="I44" s="5" t="s">
        <v>17</v>
      </c>
      <c r="J44" s="9" t="n">
        <f aca="false">G44*H44</f>
        <v>283.76</v>
      </c>
    </row>
    <row r="45" customFormat="false" ht="15" hidden="false" customHeight="true" outlineLevel="0" collapsed="false">
      <c r="A45" s="5" t="s">
        <v>126</v>
      </c>
      <c r="B45" s="6" t="n">
        <v>45492</v>
      </c>
      <c r="C45" s="5" t="s">
        <v>43</v>
      </c>
      <c r="D45" s="7" t="s">
        <v>44</v>
      </c>
      <c r="E45" s="7" t="s">
        <v>107</v>
      </c>
      <c r="F45" s="7" t="s">
        <v>46</v>
      </c>
      <c r="G45" s="5" t="n">
        <v>4</v>
      </c>
      <c r="H45" s="8" t="n">
        <v>1256.9</v>
      </c>
      <c r="I45" s="5" t="s">
        <v>35</v>
      </c>
      <c r="J45" s="9" t="n">
        <f aca="false">G45*H45</f>
        <v>5027.6</v>
      </c>
    </row>
    <row r="46" customFormat="false" ht="15" hidden="false" customHeight="true" outlineLevel="0" collapsed="false">
      <c r="A46" s="5" t="s">
        <v>127</v>
      </c>
      <c r="B46" s="6" t="n">
        <v>45495</v>
      </c>
      <c r="C46" s="5" t="s">
        <v>37</v>
      </c>
      <c r="D46" s="7" t="s">
        <v>38</v>
      </c>
      <c r="E46" s="7" t="s">
        <v>54</v>
      </c>
      <c r="F46" s="7" t="s">
        <v>46</v>
      </c>
      <c r="G46" s="5" t="n">
        <v>2</v>
      </c>
      <c r="H46" s="8" t="n">
        <v>30.87</v>
      </c>
      <c r="I46" s="5" t="s">
        <v>35</v>
      </c>
      <c r="J46" s="9" t="n">
        <f aca="false">G46*H46</f>
        <v>61.74</v>
      </c>
    </row>
    <row r="47" customFormat="false" ht="15" hidden="false" customHeight="true" outlineLevel="0" collapsed="false">
      <c r="A47" s="5" t="s">
        <v>128</v>
      </c>
      <c r="B47" s="6" t="n">
        <v>45505</v>
      </c>
      <c r="C47" s="5" t="s">
        <v>129</v>
      </c>
      <c r="D47" s="7" t="s">
        <v>130</v>
      </c>
      <c r="E47" s="7" t="s">
        <v>60</v>
      </c>
      <c r="F47" s="7" t="s">
        <v>61</v>
      </c>
      <c r="G47" s="5" t="n">
        <v>5</v>
      </c>
      <c r="H47" s="8" t="n">
        <v>60.46</v>
      </c>
      <c r="I47" s="5" t="s">
        <v>35</v>
      </c>
      <c r="J47" s="9" t="n">
        <f aca="false">G47*H47</f>
        <v>302.3</v>
      </c>
    </row>
    <row r="48" customFormat="false" ht="15" hidden="false" customHeight="true" outlineLevel="0" collapsed="false">
      <c r="A48" s="5" t="s">
        <v>131</v>
      </c>
      <c r="B48" s="6" t="n">
        <v>45505</v>
      </c>
      <c r="C48" s="5" t="s">
        <v>110</v>
      </c>
      <c r="D48" s="7" t="s">
        <v>111</v>
      </c>
      <c r="E48" s="7" t="s">
        <v>120</v>
      </c>
      <c r="F48" s="7" t="s">
        <v>52</v>
      </c>
      <c r="G48" s="5" t="n">
        <v>5</v>
      </c>
      <c r="H48" s="8" t="n">
        <v>6.29</v>
      </c>
      <c r="I48" s="5" t="s">
        <v>35</v>
      </c>
      <c r="J48" s="9" t="n">
        <f aca="false">G48*H48</f>
        <v>31.45</v>
      </c>
    </row>
    <row r="49" customFormat="false" ht="15" hidden="false" customHeight="true" outlineLevel="0" collapsed="false">
      <c r="A49" s="5" t="s">
        <v>132</v>
      </c>
      <c r="B49" s="6" t="n">
        <v>45511</v>
      </c>
      <c r="C49" s="5" t="s">
        <v>37</v>
      </c>
      <c r="D49" s="7" t="s">
        <v>38</v>
      </c>
      <c r="E49" s="7" t="s">
        <v>15</v>
      </c>
      <c r="F49" s="7" t="s">
        <v>16</v>
      </c>
      <c r="G49" s="5" t="n">
        <v>2</v>
      </c>
      <c r="H49" s="8" t="n">
        <v>26.11</v>
      </c>
      <c r="I49" s="5" t="s">
        <v>41</v>
      </c>
      <c r="J49" s="9" t="n">
        <f aca="false">G49*H49</f>
        <v>52.22</v>
      </c>
    </row>
    <row r="50" customFormat="false" ht="15" hidden="false" customHeight="true" outlineLevel="0" collapsed="false">
      <c r="A50" s="5" t="s">
        <v>133</v>
      </c>
      <c r="B50" s="6" t="n">
        <v>45512</v>
      </c>
      <c r="C50" s="5" t="s">
        <v>134</v>
      </c>
      <c r="D50" s="7" t="s">
        <v>135</v>
      </c>
      <c r="E50" s="7" t="s">
        <v>15</v>
      </c>
      <c r="F50" s="7" t="s">
        <v>16</v>
      </c>
      <c r="G50" s="5" t="n">
        <v>3</v>
      </c>
      <c r="H50" s="8" t="n">
        <v>26.18</v>
      </c>
      <c r="I50" s="5" t="s">
        <v>28</v>
      </c>
      <c r="J50" s="9" t="n">
        <f aca="false">G50*H50</f>
        <v>78.54</v>
      </c>
    </row>
    <row r="51" customFormat="false" ht="15" hidden="false" customHeight="true" outlineLevel="0" collapsed="false">
      <c r="A51" s="5" t="s">
        <v>136</v>
      </c>
      <c r="B51" s="6" t="n">
        <v>45512</v>
      </c>
      <c r="C51" s="5" t="s">
        <v>105</v>
      </c>
      <c r="D51" s="7" t="s">
        <v>106</v>
      </c>
      <c r="E51" s="7" t="s">
        <v>51</v>
      </c>
      <c r="F51" s="7" t="s">
        <v>52</v>
      </c>
      <c r="G51" s="5" t="n">
        <v>4</v>
      </c>
      <c r="H51" s="8" t="n">
        <v>9.33</v>
      </c>
      <c r="I51" s="5" t="s">
        <v>28</v>
      </c>
      <c r="J51" s="9" t="n">
        <f aca="false">G51*H51</f>
        <v>37.32</v>
      </c>
    </row>
    <row r="52" customFormat="false" ht="15" hidden="false" customHeight="true" outlineLevel="0" collapsed="false">
      <c r="A52" s="5" t="s">
        <v>137</v>
      </c>
      <c r="B52" s="6" t="n">
        <v>45513</v>
      </c>
      <c r="C52" s="5" t="s">
        <v>123</v>
      </c>
      <c r="D52" s="7" t="s">
        <v>124</v>
      </c>
      <c r="E52" s="7" t="s">
        <v>21</v>
      </c>
      <c r="F52" s="7" t="s">
        <v>16</v>
      </c>
      <c r="G52" s="5" t="n">
        <v>5</v>
      </c>
      <c r="H52" s="8" t="n">
        <v>33.33</v>
      </c>
      <c r="I52" s="5" t="s">
        <v>22</v>
      </c>
      <c r="J52" s="9" t="n">
        <f aca="false">G52*H52</f>
        <v>166.65</v>
      </c>
    </row>
    <row r="53" customFormat="false" ht="15" hidden="false" customHeight="true" outlineLevel="0" collapsed="false">
      <c r="A53" s="5" t="s">
        <v>138</v>
      </c>
      <c r="B53" s="6" t="n">
        <v>45524</v>
      </c>
      <c r="C53" s="5" t="s">
        <v>105</v>
      </c>
      <c r="D53" s="7" t="s">
        <v>106</v>
      </c>
      <c r="E53" s="7" t="s">
        <v>139</v>
      </c>
      <c r="F53" s="7" t="s">
        <v>46</v>
      </c>
      <c r="G53" s="5" t="n">
        <v>2</v>
      </c>
      <c r="H53" s="8" t="n">
        <v>49.41</v>
      </c>
      <c r="I53" s="5" t="s">
        <v>35</v>
      </c>
      <c r="J53" s="9" t="n">
        <f aca="false">G53*H53</f>
        <v>98.82</v>
      </c>
    </row>
    <row r="54" customFormat="false" ht="15" hidden="false" customHeight="true" outlineLevel="0" collapsed="false">
      <c r="A54" s="5" t="s">
        <v>140</v>
      </c>
      <c r="B54" s="6" t="n">
        <v>45529</v>
      </c>
      <c r="C54" s="5" t="s">
        <v>43</v>
      </c>
      <c r="D54" s="7" t="s">
        <v>44</v>
      </c>
      <c r="E54" s="7" t="s">
        <v>21</v>
      </c>
      <c r="F54" s="7" t="s">
        <v>16</v>
      </c>
      <c r="G54" s="5" t="n">
        <v>3</v>
      </c>
      <c r="H54" s="8" t="n">
        <v>34.1</v>
      </c>
      <c r="I54" s="5" t="s">
        <v>35</v>
      </c>
      <c r="J54" s="9" t="n">
        <f aca="false">G54*H54</f>
        <v>102.3</v>
      </c>
    </row>
    <row r="55" customFormat="false" ht="15" hidden="false" customHeight="true" outlineLevel="0" collapsed="false">
      <c r="A55" s="5" t="s">
        <v>141</v>
      </c>
      <c r="B55" s="6" t="n">
        <v>45533</v>
      </c>
      <c r="C55" s="5" t="s">
        <v>129</v>
      </c>
      <c r="D55" s="7" t="s">
        <v>130</v>
      </c>
      <c r="E55" s="7" t="s">
        <v>86</v>
      </c>
      <c r="F55" s="7" t="s">
        <v>27</v>
      </c>
      <c r="G55" s="5" t="n">
        <v>1</v>
      </c>
      <c r="H55" s="8" t="n">
        <v>389.78</v>
      </c>
      <c r="I55" s="5" t="s">
        <v>28</v>
      </c>
      <c r="J55" s="9" t="n">
        <f aca="false">G55*H55</f>
        <v>389.78</v>
      </c>
    </row>
    <row r="56" customFormat="false" ht="15" hidden="false" customHeight="true" outlineLevel="0" collapsed="false">
      <c r="A56" s="5" t="s">
        <v>142</v>
      </c>
      <c r="B56" s="6" t="n">
        <v>45539</v>
      </c>
      <c r="C56" s="5" t="s">
        <v>123</v>
      </c>
      <c r="D56" s="7" t="s">
        <v>124</v>
      </c>
      <c r="E56" s="7" t="s">
        <v>21</v>
      </c>
      <c r="F56" s="7" t="s">
        <v>16</v>
      </c>
      <c r="G56" s="5" t="n">
        <v>4</v>
      </c>
      <c r="H56" s="8" t="n">
        <v>35.81</v>
      </c>
      <c r="I56" s="5" t="s">
        <v>35</v>
      </c>
      <c r="J56" s="9" t="n">
        <f aca="false">G56*H56</f>
        <v>143.24</v>
      </c>
    </row>
    <row r="57" customFormat="false" ht="15" hidden="false" customHeight="true" outlineLevel="0" collapsed="false">
      <c r="A57" s="5" t="s">
        <v>143</v>
      </c>
      <c r="B57" s="6" t="n">
        <v>45541</v>
      </c>
      <c r="C57" s="5" t="s">
        <v>84</v>
      </c>
      <c r="D57" s="7" t="s">
        <v>85</v>
      </c>
      <c r="E57" s="7" t="s">
        <v>81</v>
      </c>
      <c r="F57" s="7" t="s">
        <v>61</v>
      </c>
      <c r="G57" s="5" t="n">
        <v>1</v>
      </c>
      <c r="H57" s="8" t="n">
        <v>102.8</v>
      </c>
      <c r="I57" s="5" t="s">
        <v>41</v>
      </c>
      <c r="J57" s="9" t="n">
        <f aca="false">G57*H57</f>
        <v>102.8</v>
      </c>
    </row>
    <row r="58" customFormat="false" ht="15" hidden="false" customHeight="true" outlineLevel="0" collapsed="false">
      <c r="A58" s="5" t="s">
        <v>144</v>
      </c>
      <c r="B58" s="6" t="n">
        <v>45542</v>
      </c>
      <c r="C58" s="5" t="s">
        <v>96</v>
      </c>
      <c r="D58" s="7" t="s">
        <v>97</v>
      </c>
      <c r="E58" s="7" t="s">
        <v>45</v>
      </c>
      <c r="F58" s="7" t="s">
        <v>46</v>
      </c>
      <c r="G58" s="5" t="n">
        <v>3</v>
      </c>
      <c r="H58" s="8" t="n">
        <v>90.93</v>
      </c>
      <c r="I58" s="5" t="s">
        <v>17</v>
      </c>
      <c r="J58" s="9" t="n">
        <f aca="false">G58*H58</f>
        <v>272.79</v>
      </c>
    </row>
    <row r="59" customFormat="false" ht="15" hidden="false" customHeight="true" outlineLevel="0" collapsed="false">
      <c r="A59" s="5" t="s">
        <v>145</v>
      </c>
      <c r="B59" s="6" t="n">
        <v>45546</v>
      </c>
      <c r="C59" s="5" t="s">
        <v>70</v>
      </c>
      <c r="D59" s="7" t="s">
        <v>71</v>
      </c>
      <c r="E59" s="7" t="s">
        <v>107</v>
      </c>
      <c r="F59" s="7" t="s">
        <v>46</v>
      </c>
      <c r="G59" s="5" t="n">
        <v>4</v>
      </c>
      <c r="H59" s="8" t="n">
        <v>1270.15</v>
      </c>
      <c r="I59" s="5" t="s">
        <v>17</v>
      </c>
      <c r="J59" s="9" t="n">
        <f aca="false">G59*H59</f>
        <v>5080.6</v>
      </c>
    </row>
    <row r="60" customFormat="false" ht="15" hidden="false" customHeight="true" outlineLevel="0" collapsed="false">
      <c r="A60" s="5" t="s">
        <v>146</v>
      </c>
      <c r="B60" s="6" t="n">
        <v>45547</v>
      </c>
      <c r="C60" s="5" t="s">
        <v>147</v>
      </c>
      <c r="D60" s="7" t="s">
        <v>148</v>
      </c>
      <c r="E60" s="7" t="s">
        <v>45</v>
      </c>
      <c r="F60" s="7" t="s">
        <v>46</v>
      </c>
      <c r="G60" s="5" t="n">
        <v>3</v>
      </c>
      <c r="H60" s="8" t="n">
        <v>91.73</v>
      </c>
      <c r="I60" s="5" t="s">
        <v>41</v>
      </c>
      <c r="J60" s="9" t="n">
        <f aca="false">G60*H60</f>
        <v>275.19</v>
      </c>
    </row>
    <row r="61" customFormat="false" ht="15" hidden="false" customHeight="true" outlineLevel="0" collapsed="false">
      <c r="A61" s="5" t="s">
        <v>149</v>
      </c>
      <c r="B61" s="6" t="n">
        <v>45549</v>
      </c>
      <c r="C61" s="5" t="s">
        <v>73</v>
      </c>
      <c r="D61" s="7" t="s">
        <v>74</v>
      </c>
      <c r="E61" s="7" t="s">
        <v>150</v>
      </c>
      <c r="F61" s="7" t="s">
        <v>61</v>
      </c>
      <c r="G61" s="5" t="n">
        <v>3</v>
      </c>
      <c r="H61" s="8" t="n">
        <v>77.67</v>
      </c>
      <c r="I61" s="5" t="s">
        <v>17</v>
      </c>
      <c r="J61" s="9" t="n">
        <f aca="false">G61*H61</f>
        <v>233.01</v>
      </c>
    </row>
    <row r="62" customFormat="false" ht="15" hidden="false" customHeight="true" outlineLevel="0" collapsed="false">
      <c r="A62" s="5" t="s">
        <v>151</v>
      </c>
      <c r="B62" s="6" t="n">
        <v>45550</v>
      </c>
      <c r="C62" s="5" t="s">
        <v>114</v>
      </c>
      <c r="D62" s="7" t="s">
        <v>115</v>
      </c>
      <c r="E62" s="7" t="s">
        <v>45</v>
      </c>
      <c r="F62" s="7" t="s">
        <v>46</v>
      </c>
      <c r="G62" s="5" t="n">
        <v>3</v>
      </c>
      <c r="H62" s="8" t="n">
        <v>90.7</v>
      </c>
      <c r="I62" s="5" t="s">
        <v>28</v>
      </c>
      <c r="J62" s="9" t="n">
        <f aca="false">G62*H62</f>
        <v>272.1</v>
      </c>
    </row>
    <row r="63" customFormat="false" ht="15" hidden="false" customHeight="true" outlineLevel="0" collapsed="false">
      <c r="A63" s="5" t="s">
        <v>152</v>
      </c>
      <c r="B63" s="6" t="n">
        <v>45558</v>
      </c>
      <c r="C63" s="5" t="s">
        <v>33</v>
      </c>
      <c r="D63" s="7" t="s">
        <v>34</v>
      </c>
      <c r="E63" s="7" t="s">
        <v>139</v>
      </c>
      <c r="F63" s="7" t="s">
        <v>46</v>
      </c>
      <c r="G63" s="5" t="n">
        <v>5</v>
      </c>
      <c r="H63" s="8" t="n">
        <v>48.31</v>
      </c>
      <c r="I63" s="5" t="s">
        <v>35</v>
      </c>
      <c r="J63" s="9" t="n">
        <f aca="false">G63*H63</f>
        <v>241.55</v>
      </c>
    </row>
    <row r="64" customFormat="false" ht="15" hidden="false" customHeight="true" outlineLevel="0" collapsed="false">
      <c r="A64" s="5" t="s">
        <v>153</v>
      </c>
      <c r="B64" s="6" t="n">
        <v>45560</v>
      </c>
      <c r="C64" s="5" t="s">
        <v>19</v>
      </c>
      <c r="D64" s="7" t="s">
        <v>20</v>
      </c>
      <c r="E64" s="7" t="s">
        <v>26</v>
      </c>
      <c r="F64" s="7" t="s">
        <v>27</v>
      </c>
      <c r="G64" s="5" t="n">
        <v>5</v>
      </c>
      <c r="H64" s="8" t="n">
        <v>38.62</v>
      </c>
      <c r="I64" s="5" t="s">
        <v>28</v>
      </c>
      <c r="J64" s="9" t="n">
        <f aca="false">G64*H64</f>
        <v>193.1</v>
      </c>
    </row>
    <row r="65" customFormat="false" ht="15" hidden="false" customHeight="true" outlineLevel="0" collapsed="false">
      <c r="A65" s="5" t="s">
        <v>154</v>
      </c>
      <c r="B65" s="6" t="n">
        <v>45564</v>
      </c>
      <c r="C65" s="5" t="s">
        <v>129</v>
      </c>
      <c r="D65" s="7" t="s">
        <v>130</v>
      </c>
      <c r="E65" s="7" t="s">
        <v>75</v>
      </c>
      <c r="F65" s="7" t="s">
        <v>27</v>
      </c>
      <c r="G65" s="5" t="n">
        <v>4</v>
      </c>
      <c r="H65" s="8" t="n">
        <v>241.97</v>
      </c>
      <c r="I65" s="5" t="s">
        <v>28</v>
      </c>
      <c r="J65" s="9" t="n">
        <f aca="false">G65*H65</f>
        <v>967.88</v>
      </c>
    </row>
    <row r="66" customFormat="false" ht="15" hidden="false" customHeight="true" outlineLevel="0" collapsed="false">
      <c r="A66" s="5" t="s">
        <v>155</v>
      </c>
      <c r="B66" s="6" t="n">
        <v>45567</v>
      </c>
      <c r="C66" s="5" t="s">
        <v>30</v>
      </c>
      <c r="D66" s="7" t="s">
        <v>31</v>
      </c>
      <c r="E66" s="7" t="s">
        <v>39</v>
      </c>
      <c r="F66" s="7" t="s">
        <v>40</v>
      </c>
      <c r="G66" s="5" t="n">
        <v>2</v>
      </c>
      <c r="H66" s="8" t="n">
        <v>52.67</v>
      </c>
      <c r="I66" s="5" t="s">
        <v>35</v>
      </c>
      <c r="J66" s="9" t="n">
        <f aca="false">G66*H66</f>
        <v>105.34</v>
      </c>
    </row>
    <row r="67" customFormat="false" ht="15" hidden="false" customHeight="true" outlineLevel="0" collapsed="false">
      <c r="A67" s="5" t="s">
        <v>156</v>
      </c>
      <c r="B67" s="6" t="n">
        <v>45568</v>
      </c>
      <c r="C67" s="5" t="s">
        <v>73</v>
      </c>
      <c r="D67" s="7" t="s">
        <v>74</v>
      </c>
      <c r="E67" s="7" t="s">
        <v>67</v>
      </c>
      <c r="F67" s="7" t="s">
        <v>52</v>
      </c>
      <c r="G67" s="5" t="n">
        <v>5</v>
      </c>
      <c r="H67" s="8" t="n">
        <v>13.17</v>
      </c>
      <c r="I67" s="5" t="s">
        <v>41</v>
      </c>
      <c r="J67" s="9" t="n">
        <f aca="false">G67*H67</f>
        <v>65.85</v>
      </c>
    </row>
    <row r="68" customFormat="false" ht="15" hidden="false" customHeight="true" outlineLevel="0" collapsed="false">
      <c r="A68" s="5" t="s">
        <v>157</v>
      </c>
      <c r="B68" s="6" t="n">
        <v>45570</v>
      </c>
      <c r="C68" s="5" t="s">
        <v>84</v>
      </c>
      <c r="D68" s="7" t="s">
        <v>85</v>
      </c>
      <c r="E68" s="7" t="s">
        <v>81</v>
      </c>
      <c r="F68" s="7" t="s">
        <v>61</v>
      </c>
      <c r="G68" s="5" t="n">
        <v>3</v>
      </c>
      <c r="H68" s="8" t="n">
        <v>97.49</v>
      </c>
      <c r="I68" s="5" t="s">
        <v>41</v>
      </c>
      <c r="J68" s="9" t="n">
        <f aca="false">G68*H68</f>
        <v>292.47</v>
      </c>
    </row>
    <row r="69" customFormat="false" ht="15" hidden="false" customHeight="true" outlineLevel="0" collapsed="false">
      <c r="A69" s="5" t="s">
        <v>158</v>
      </c>
      <c r="B69" s="6" t="n">
        <v>45577</v>
      </c>
      <c r="C69" s="5" t="s">
        <v>96</v>
      </c>
      <c r="D69" s="7" t="s">
        <v>97</v>
      </c>
      <c r="E69" s="7" t="s">
        <v>39</v>
      </c>
      <c r="F69" s="7" t="s">
        <v>40</v>
      </c>
      <c r="G69" s="5" t="n">
        <v>3</v>
      </c>
      <c r="H69" s="8" t="n">
        <v>56.14</v>
      </c>
      <c r="I69" s="5" t="s">
        <v>28</v>
      </c>
      <c r="J69" s="9" t="n">
        <f aca="false">G69*H69</f>
        <v>168.42</v>
      </c>
    </row>
    <row r="70" customFormat="false" ht="15" hidden="false" customHeight="true" outlineLevel="0" collapsed="false">
      <c r="A70" s="5" t="s">
        <v>159</v>
      </c>
      <c r="B70" s="6" t="n">
        <v>45579</v>
      </c>
      <c r="C70" s="5" t="s">
        <v>114</v>
      </c>
      <c r="D70" s="7" t="s">
        <v>115</v>
      </c>
      <c r="E70" s="7" t="s">
        <v>150</v>
      </c>
      <c r="F70" s="7" t="s">
        <v>61</v>
      </c>
      <c r="G70" s="5" t="n">
        <v>1</v>
      </c>
      <c r="H70" s="8" t="n">
        <v>81.28</v>
      </c>
      <c r="I70" s="5" t="s">
        <v>28</v>
      </c>
      <c r="J70" s="9" t="n">
        <f aca="false">G70*H70</f>
        <v>81.28</v>
      </c>
    </row>
    <row r="71" customFormat="false" ht="15" hidden="false" customHeight="true" outlineLevel="0" collapsed="false">
      <c r="A71" s="5" t="s">
        <v>160</v>
      </c>
      <c r="B71" s="6" t="n">
        <v>45584</v>
      </c>
      <c r="C71" s="5" t="s">
        <v>134</v>
      </c>
      <c r="D71" s="7" t="s">
        <v>135</v>
      </c>
      <c r="E71" s="7" t="s">
        <v>161</v>
      </c>
      <c r="F71" s="7" t="s">
        <v>16</v>
      </c>
      <c r="G71" s="5" t="n">
        <v>3</v>
      </c>
      <c r="H71" s="8" t="n">
        <v>19.13</v>
      </c>
      <c r="I71" s="5" t="s">
        <v>41</v>
      </c>
      <c r="J71" s="9" t="n">
        <f aca="false">G71*H71</f>
        <v>57.39</v>
      </c>
    </row>
    <row r="72" customFormat="false" ht="15" hidden="false" customHeight="true" outlineLevel="0" collapsed="false">
      <c r="A72" s="5" t="s">
        <v>162</v>
      </c>
      <c r="B72" s="6" t="n">
        <v>45585</v>
      </c>
      <c r="C72" s="5" t="s">
        <v>70</v>
      </c>
      <c r="D72" s="7" t="s">
        <v>71</v>
      </c>
      <c r="E72" s="7" t="s">
        <v>39</v>
      </c>
      <c r="F72" s="7" t="s">
        <v>40</v>
      </c>
      <c r="G72" s="5" t="n">
        <v>4</v>
      </c>
      <c r="H72" s="8" t="n">
        <v>55.24</v>
      </c>
      <c r="I72" s="5" t="s">
        <v>28</v>
      </c>
      <c r="J72" s="9" t="n">
        <f aca="false">G72*H72</f>
        <v>220.96</v>
      </c>
    </row>
    <row r="73" customFormat="false" ht="15" hidden="false" customHeight="true" outlineLevel="0" collapsed="false">
      <c r="A73" s="5" t="s">
        <v>163</v>
      </c>
      <c r="B73" s="6" t="n">
        <v>45588</v>
      </c>
      <c r="C73" s="5" t="s">
        <v>93</v>
      </c>
      <c r="D73" s="7" t="s">
        <v>94</v>
      </c>
      <c r="E73" s="7" t="s">
        <v>15</v>
      </c>
      <c r="F73" s="7" t="s">
        <v>16</v>
      </c>
      <c r="G73" s="5" t="n">
        <v>3</v>
      </c>
      <c r="H73" s="8" t="n">
        <v>26.23</v>
      </c>
      <c r="I73" s="5" t="s">
        <v>41</v>
      </c>
      <c r="J73" s="9" t="n">
        <f aca="false">G73*H73</f>
        <v>78.69</v>
      </c>
    </row>
    <row r="74" customFormat="false" ht="15" hidden="false" customHeight="true" outlineLevel="0" collapsed="false">
      <c r="A74" s="5" t="s">
        <v>164</v>
      </c>
      <c r="B74" s="6" t="n">
        <v>45591</v>
      </c>
      <c r="C74" s="5" t="s">
        <v>49</v>
      </c>
      <c r="D74" s="7" t="s">
        <v>50</v>
      </c>
      <c r="E74" s="7" t="s">
        <v>120</v>
      </c>
      <c r="F74" s="7" t="s">
        <v>52</v>
      </c>
      <c r="G74" s="5" t="n">
        <v>3</v>
      </c>
      <c r="H74" s="8" t="n">
        <v>6.48</v>
      </c>
      <c r="I74" s="5" t="s">
        <v>22</v>
      </c>
      <c r="J74" s="9" t="n">
        <f aca="false">G74*H74</f>
        <v>19.44</v>
      </c>
    </row>
    <row r="75" customFormat="false" ht="15" hidden="false" customHeight="true" outlineLevel="0" collapsed="false">
      <c r="A75" s="5" t="s">
        <v>165</v>
      </c>
      <c r="B75" s="6" t="n">
        <v>45592</v>
      </c>
      <c r="C75" s="5" t="s">
        <v>166</v>
      </c>
      <c r="D75" s="7" t="s">
        <v>167</v>
      </c>
      <c r="E75" s="7" t="s">
        <v>67</v>
      </c>
      <c r="F75" s="7" t="s">
        <v>52</v>
      </c>
      <c r="G75" s="5" t="n">
        <v>3</v>
      </c>
      <c r="H75" s="8" t="n">
        <v>12.69</v>
      </c>
      <c r="I75" s="5" t="s">
        <v>35</v>
      </c>
      <c r="J75" s="9" t="n">
        <f aca="false">G75*H75</f>
        <v>38.07</v>
      </c>
    </row>
    <row r="76" customFormat="false" ht="15" hidden="false" customHeight="true" outlineLevel="0" collapsed="false">
      <c r="A76" s="5" t="s">
        <v>168</v>
      </c>
      <c r="B76" s="6" t="n">
        <v>45595</v>
      </c>
      <c r="C76" s="5" t="s">
        <v>114</v>
      </c>
      <c r="D76" s="7" t="s">
        <v>115</v>
      </c>
      <c r="E76" s="7" t="s">
        <v>45</v>
      </c>
      <c r="F76" s="7" t="s">
        <v>46</v>
      </c>
      <c r="G76" s="5" t="n">
        <v>2</v>
      </c>
      <c r="H76" s="8" t="n">
        <v>91.43</v>
      </c>
      <c r="I76" s="5" t="s">
        <v>17</v>
      </c>
      <c r="J76" s="9" t="n">
        <f aca="false">G76*H76</f>
        <v>182.86</v>
      </c>
    </row>
    <row r="77" customFormat="false" ht="15" hidden="false" customHeight="true" outlineLevel="0" collapsed="false">
      <c r="A77" s="5" t="s">
        <v>169</v>
      </c>
      <c r="B77" s="6" t="n">
        <v>45600</v>
      </c>
      <c r="C77" s="5" t="s">
        <v>24</v>
      </c>
      <c r="D77" s="7" t="s">
        <v>25</v>
      </c>
      <c r="E77" s="7" t="s">
        <v>120</v>
      </c>
      <c r="F77" s="7" t="s">
        <v>52</v>
      </c>
      <c r="G77" s="5" t="n">
        <v>4</v>
      </c>
      <c r="H77" s="8" t="n">
        <v>6.74</v>
      </c>
      <c r="I77" s="5" t="s">
        <v>41</v>
      </c>
      <c r="J77" s="9" t="n">
        <f aca="false">G77*H77</f>
        <v>26.96</v>
      </c>
    </row>
    <row r="78" customFormat="false" ht="15" hidden="false" customHeight="true" outlineLevel="0" collapsed="false">
      <c r="A78" s="5" t="s">
        <v>170</v>
      </c>
      <c r="B78" s="6" t="n">
        <v>45602</v>
      </c>
      <c r="C78" s="5" t="s">
        <v>147</v>
      </c>
      <c r="D78" s="7" t="s">
        <v>148</v>
      </c>
      <c r="E78" s="7" t="s">
        <v>125</v>
      </c>
      <c r="F78" s="7" t="s">
        <v>16</v>
      </c>
      <c r="G78" s="5" t="n">
        <v>5</v>
      </c>
      <c r="H78" s="8" t="n">
        <v>71.55</v>
      </c>
      <c r="I78" s="5" t="s">
        <v>35</v>
      </c>
      <c r="J78" s="9" t="n">
        <f aca="false">G78*H78</f>
        <v>357.75</v>
      </c>
    </row>
    <row r="79" customFormat="false" ht="15" hidden="false" customHeight="true" outlineLevel="0" collapsed="false">
      <c r="A79" s="5" t="s">
        <v>171</v>
      </c>
      <c r="B79" s="6" t="n">
        <v>45607</v>
      </c>
      <c r="C79" s="5" t="s">
        <v>13</v>
      </c>
      <c r="D79" s="7" t="s">
        <v>14</v>
      </c>
      <c r="E79" s="7" t="s">
        <v>67</v>
      </c>
      <c r="F79" s="7" t="s">
        <v>52</v>
      </c>
      <c r="G79" s="5" t="n">
        <v>3</v>
      </c>
      <c r="H79" s="8" t="n">
        <v>12.64</v>
      </c>
      <c r="I79" s="5" t="s">
        <v>28</v>
      </c>
      <c r="J79" s="9" t="n">
        <f aca="false">G79*H79</f>
        <v>37.92</v>
      </c>
    </row>
    <row r="80" customFormat="false" ht="15" hidden="false" customHeight="true" outlineLevel="0" collapsed="false">
      <c r="A80" s="5" t="s">
        <v>172</v>
      </c>
      <c r="B80" s="6" t="n">
        <v>45607</v>
      </c>
      <c r="C80" s="5" t="s">
        <v>13</v>
      </c>
      <c r="D80" s="7" t="s">
        <v>14</v>
      </c>
      <c r="E80" s="7" t="s">
        <v>150</v>
      </c>
      <c r="F80" s="7" t="s">
        <v>61</v>
      </c>
      <c r="G80" s="5" t="n">
        <v>2</v>
      </c>
      <c r="H80" s="8" t="n">
        <v>79.94</v>
      </c>
      <c r="I80" s="5" t="s">
        <v>22</v>
      </c>
      <c r="J80" s="9" t="n">
        <f aca="false">G80*H80</f>
        <v>159.88</v>
      </c>
    </row>
    <row r="81" customFormat="false" ht="15" hidden="false" customHeight="true" outlineLevel="0" collapsed="false">
      <c r="A81" s="5" t="s">
        <v>173</v>
      </c>
      <c r="B81" s="6" t="n">
        <v>45608</v>
      </c>
      <c r="C81" s="5" t="s">
        <v>105</v>
      </c>
      <c r="D81" s="7" t="s">
        <v>106</v>
      </c>
      <c r="E81" s="7" t="s">
        <v>65</v>
      </c>
      <c r="F81" s="7" t="s">
        <v>40</v>
      </c>
      <c r="G81" s="5" t="n">
        <v>4</v>
      </c>
      <c r="H81" s="8" t="n">
        <v>19.54</v>
      </c>
      <c r="I81" s="5" t="s">
        <v>35</v>
      </c>
      <c r="J81" s="9" t="n">
        <f aca="false">G81*H81</f>
        <v>78.16</v>
      </c>
    </row>
    <row r="82" customFormat="false" ht="15" hidden="false" customHeight="true" outlineLevel="0" collapsed="false">
      <c r="A82" s="5" t="s">
        <v>174</v>
      </c>
      <c r="B82" s="6" t="n">
        <v>45614</v>
      </c>
      <c r="C82" s="5" t="s">
        <v>114</v>
      </c>
      <c r="D82" s="7" t="s">
        <v>115</v>
      </c>
      <c r="E82" s="7" t="s">
        <v>65</v>
      </c>
      <c r="F82" s="7" t="s">
        <v>40</v>
      </c>
      <c r="G82" s="5" t="n">
        <v>5</v>
      </c>
      <c r="H82" s="8" t="n">
        <v>19.89</v>
      </c>
      <c r="I82" s="5" t="s">
        <v>41</v>
      </c>
      <c r="J82" s="9" t="n">
        <f aca="false">G82*H82</f>
        <v>99.45</v>
      </c>
    </row>
    <row r="83" customFormat="false" ht="15" hidden="false" customHeight="true" outlineLevel="0" collapsed="false">
      <c r="A83" s="5" t="s">
        <v>175</v>
      </c>
      <c r="B83" s="6" t="n">
        <v>45617</v>
      </c>
      <c r="C83" s="5" t="s">
        <v>134</v>
      </c>
      <c r="D83" s="7" t="s">
        <v>135</v>
      </c>
      <c r="E83" s="7" t="s">
        <v>139</v>
      </c>
      <c r="F83" s="7" t="s">
        <v>46</v>
      </c>
      <c r="G83" s="5" t="n">
        <v>5</v>
      </c>
      <c r="H83" s="8" t="n">
        <v>52.24</v>
      </c>
      <c r="I83" s="5" t="s">
        <v>22</v>
      </c>
      <c r="J83" s="9" t="n">
        <f aca="false">G83*H83</f>
        <v>261.2</v>
      </c>
    </row>
    <row r="84" customFormat="false" ht="15" hidden="false" customHeight="true" outlineLevel="0" collapsed="false">
      <c r="A84" s="5" t="s">
        <v>176</v>
      </c>
      <c r="B84" s="6" t="n">
        <v>45621</v>
      </c>
      <c r="C84" s="5" t="s">
        <v>63</v>
      </c>
      <c r="D84" s="7" t="s">
        <v>64</v>
      </c>
      <c r="E84" s="7" t="s">
        <v>86</v>
      </c>
      <c r="F84" s="7" t="s">
        <v>27</v>
      </c>
      <c r="G84" s="5" t="n">
        <v>5</v>
      </c>
      <c r="H84" s="8" t="n">
        <v>381.05</v>
      </c>
      <c r="I84" s="5" t="s">
        <v>22</v>
      </c>
      <c r="J84" s="9" t="n">
        <f aca="false">G84*H84</f>
        <v>1905.25</v>
      </c>
    </row>
    <row r="85" customFormat="false" ht="15" hidden="false" customHeight="true" outlineLevel="0" collapsed="false">
      <c r="A85" s="5" t="s">
        <v>177</v>
      </c>
      <c r="B85" s="6" t="n">
        <v>45623</v>
      </c>
      <c r="C85" s="5" t="s">
        <v>49</v>
      </c>
      <c r="D85" s="7" t="s">
        <v>50</v>
      </c>
      <c r="E85" s="7" t="s">
        <v>51</v>
      </c>
      <c r="F85" s="7" t="s">
        <v>52</v>
      </c>
      <c r="G85" s="5" t="n">
        <v>3</v>
      </c>
      <c r="H85" s="8" t="n">
        <v>8.83</v>
      </c>
      <c r="I85" s="5" t="s">
        <v>17</v>
      </c>
      <c r="J85" s="9" t="n">
        <f aca="false">G85*H85</f>
        <v>26.49</v>
      </c>
    </row>
    <row r="86" customFormat="false" ht="15" hidden="false" customHeight="true" outlineLevel="0" collapsed="false">
      <c r="A86" s="5" t="s">
        <v>178</v>
      </c>
      <c r="B86" s="6" t="n">
        <v>45627</v>
      </c>
      <c r="C86" s="5" t="s">
        <v>114</v>
      </c>
      <c r="D86" s="7" t="s">
        <v>115</v>
      </c>
      <c r="E86" s="7" t="s">
        <v>56</v>
      </c>
      <c r="F86" s="7" t="s">
        <v>46</v>
      </c>
      <c r="G86" s="5" t="n">
        <v>2</v>
      </c>
      <c r="H86" s="8" t="n">
        <v>355.92</v>
      </c>
      <c r="I86" s="5" t="s">
        <v>41</v>
      </c>
      <c r="J86" s="9" t="n">
        <f aca="false">G86*H86</f>
        <v>711.84</v>
      </c>
    </row>
    <row r="87" customFormat="false" ht="15" hidden="false" customHeight="true" outlineLevel="0" collapsed="false">
      <c r="A87" s="5" t="s">
        <v>179</v>
      </c>
      <c r="B87" s="6" t="n">
        <v>45628</v>
      </c>
      <c r="C87" s="5" t="s">
        <v>43</v>
      </c>
      <c r="D87" s="7" t="s">
        <v>44</v>
      </c>
      <c r="E87" s="7" t="s">
        <v>65</v>
      </c>
      <c r="F87" s="7" t="s">
        <v>40</v>
      </c>
      <c r="G87" s="5" t="n">
        <v>2</v>
      </c>
      <c r="H87" s="8" t="n">
        <v>20.09</v>
      </c>
      <c r="I87" s="5" t="s">
        <v>17</v>
      </c>
      <c r="J87" s="9" t="n">
        <f aca="false">G87*H87</f>
        <v>40.18</v>
      </c>
    </row>
    <row r="88" customFormat="false" ht="15" hidden="false" customHeight="true" outlineLevel="0" collapsed="false">
      <c r="A88" s="5" t="s">
        <v>180</v>
      </c>
      <c r="B88" s="6" t="n">
        <v>45629</v>
      </c>
      <c r="C88" s="5" t="s">
        <v>117</v>
      </c>
      <c r="D88" s="7" t="s">
        <v>118</v>
      </c>
      <c r="E88" s="7" t="s">
        <v>60</v>
      </c>
      <c r="F88" s="7" t="s">
        <v>61</v>
      </c>
      <c r="G88" s="5" t="n">
        <v>4</v>
      </c>
      <c r="H88" s="8" t="n">
        <v>57.85</v>
      </c>
      <c r="I88" s="5" t="s">
        <v>22</v>
      </c>
      <c r="J88" s="9" t="n">
        <f aca="false">G88*H88</f>
        <v>231.4</v>
      </c>
    </row>
    <row r="89" customFormat="false" ht="15" hidden="false" customHeight="true" outlineLevel="0" collapsed="false">
      <c r="A89" s="5" t="s">
        <v>181</v>
      </c>
      <c r="B89" s="6" t="n">
        <v>45637</v>
      </c>
      <c r="C89" s="5" t="s">
        <v>70</v>
      </c>
      <c r="D89" s="7" t="s">
        <v>71</v>
      </c>
      <c r="E89" s="7" t="s">
        <v>45</v>
      </c>
      <c r="F89" s="7" t="s">
        <v>46</v>
      </c>
      <c r="G89" s="5" t="n">
        <v>2</v>
      </c>
      <c r="H89" s="8" t="n">
        <v>90.32</v>
      </c>
      <c r="I89" s="5" t="s">
        <v>35</v>
      </c>
      <c r="J89" s="9" t="n">
        <f aca="false">G89*H89</f>
        <v>180.64</v>
      </c>
    </row>
    <row r="90" customFormat="false" ht="15" hidden="false" customHeight="true" outlineLevel="0" collapsed="false">
      <c r="A90" s="5" t="s">
        <v>182</v>
      </c>
      <c r="B90" s="6" t="n">
        <v>45637</v>
      </c>
      <c r="C90" s="5" t="s">
        <v>58</v>
      </c>
      <c r="D90" s="7" t="s">
        <v>59</v>
      </c>
      <c r="E90" s="7" t="s">
        <v>139</v>
      </c>
      <c r="F90" s="7" t="s">
        <v>46</v>
      </c>
      <c r="G90" s="5" t="n">
        <v>1</v>
      </c>
      <c r="H90" s="8" t="n">
        <v>51.31</v>
      </c>
      <c r="I90" s="5" t="s">
        <v>22</v>
      </c>
      <c r="J90" s="9" t="n">
        <f aca="false">G90*H90</f>
        <v>51.31</v>
      </c>
    </row>
    <row r="91" customFormat="false" ht="15" hidden="false" customHeight="true" outlineLevel="0" collapsed="false">
      <c r="A91" s="5" t="s">
        <v>183</v>
      </c>
      <c r="B91" s="6" t="n">
        <v>45640</v>
      </c>
      <c r="C91" s="5" t="s">
        <v>73</v>
      </c>
      <c r="D91" s="7" t="s">
        <v>74</v>
      </c>
      <c r="E91" s="7" t="s">
        <v>161</v>
      </c>
      <c r="F91" s="7" t="s">
        <v>16</v>
      </c>
      <c r="G91" s="5" t="n">
        <v>5</v>
      </c>
      <c r="H91" s="8" t="n">
        <v>20.35</v>
      </c>
      <c r="I91" s="5" t="s">
        <v>28</v>
      </c>
      <c r="J91" s="9" t="n">
        <f aca="false">G91*H91</f>
        <v>101.75</v>
      </c>
    </row>
    <row r="92" customFormat="false" ht="15" hidden="false" customHeight="true" outlineLevel="0" collapsed="false">
      <c r="A92" s="5" t="s">
        <v>184</v>
      </c>
      <c r="B92" s="6" t="n">
        <v>45641</v>
      </c>
      <c r="C92" s="5" t="s">
        <v>123</v>
      </c>
      <c r="D92" s="7" t="s">
        <v>124</v>
      </c>
      <c r="E92" s="7" t="s">
        <v>81</v>
      </c>
      <c r="F92" s="7" t="s">
        <v>61</v>
      </c>
      <c r="G92" s="5" t="n">
        <v>1</v>
      </c>
      <c r="H92" s="8" t="n">
        <v>95.18</v>
      </c>
      <c r="I92" s="5" t="s">
        <v>41</v>
      </c>
      <c r="J92" s="9" t="n">
        <f aca="false">G92*H92</f>
        <v>95.18</v>
      </c>
    </row>
    <row r="93" customFormat="false" ht="15" hidden="false" customHeight="true" outlineLevel="0" collapsed="false">
      <c r="A93" s="5" t="s">
        <v>185</v>
      </c>
      <c r="B93" s="6" t="n">
        <v>45651</v>
      </c>
      <c r="C93" s="5" t="s">
        <v>166</v>
      </c>
      <c r="D93" s="7" t="s">
        <v>167</v>
      </c>
      <c r="E93" s="7" t="s">
        <v>56</v>
      </c>
      <c r="F93" s="7" t="s">
        <v>46</v>
      </c>
      <c r="G93" s="5" t="n">
        <v>2</v>
      </c>
      <c r="H93" s="8" t="n">
        <v>351.8</v>
      </c>
      <c r="I93" s="5" t="s">
        <v>41</v>
      </c>
      <c r="J93" s="9" t="n">
        <f aca="false">G93*H93</f>
        <v>703.6</v>
      </c>
    </row>
    <row r="94" customFormat="false" ht="15" hidden="false" customHeight="true" outlineLevel="0" collapsed="false">
      <c r="A94" s="5" t="s">
        <v>186</v>
      </c>
      <c r="B94" s="6" t="n">
        <v>45652</v>
      </c>
      <c r="C94" s="5" t="s">
        <v>105</v>
      </c>
      <c r="D94" s="7" t="s">
        <v>106</v>
      </c>
      <c r="E94" s="7" t="s">
        <v>15</v>
      </c>
      <c r="F94" s="7" t="s">
        <v>16</v>
      </c>
      <c r="G94" s="5" t="n">
        <v>5</v>
      </c>
      <c r="H94" s="8" t="n">
        <v>25.98</v>
      </c>
      <c r="I94" s="5" t="s">
        <v>41</v>
      </c>
      <c r="J94" s="9" t="n">
        <f aca="false">G94*H94</f>
        <v>129.9</v>
      </c>
    </row>
    <row r="95" customFormat="false" ht="15" hidden="false" customHeight="true" outlineLevel="0" collapsed="false">
      <c r="A95" s="5" t="s">
        <v>187</v>
      </c>
      <c r="B95" s="6" t="n">
        <v>45653</v>
      </c>
      <c r="C95" s="5" t="s">
        <v>117</v>
      </c>
      <c r="D95" s="7" t="s">
        <v>118</v>
      </c>
      <c r="E95" s="7" t="s">
        <v>150</v>
      </c>
      <c r="F95" s="7" t="s">
        <v>61</v>
      </c>
      <c r="G95" s="5" t="n">
        <v>1</v>
      </c>
      <c r="H95" s="8" t="n">
        <v>80.28</v>
      </c>
      <c r="I95" s="5" t="s">
        <v>41</v>
      </c>
      <c r="J95" s="9" t="n">
        <f aca="false">G95*H95</f>
        <v>80.28</v>
      </c>
    </row>
    <row r="96" customFormat="false" ht="15" hidden="false" customHeight="true" outlineLevel="0" collapsed="false">
      <c r="A96" s="5" t="s">
        <v>188</v>
      </c>
      <c r="B96" s="6" t="n">
        <v>45654</v>
      </c>
      <c r="C96" s="5" t="s">
        <v>33</v>
      </c>
      <c r="D96" s="7" t="s">
        <v>34</v>
      </c>
      <c r="E96" s="7" t="s">
        <v>75</v>
      </c>
      <c r="F96" s="7" t="s">
        <v>27</v>
      </c>
      <c r="G96" s="5" t="n">
        <v>1</v>
      </c>
      <c r="H96" s="8" t="n">
        <v>252.4</v>
      </c>
      <c r="I96" s="5" t="s">
        <v>28</v>
      </c>
      <c r="J96" s="9" t="n">
        <f aca="false">G96*H96</f>
        <v>252.4</v>
      </c>
    </row>
    <row r="97" customFormat="false" ht="15" hidden="false" customHeight="true" outlineLevel="0" collapsed="false">
      <c r="A97" s="5" t="s">
        <v>189</v>
      </c>
      <c r="B97" s="6" t="n">
        <v>45655</v>
      </c>
      <c r="C97" s="5" t="s">
        <v>43</v>
      </c>
      <c r="D97" s="7" t="s">
        <v>44</v>
      </c>
      <c r="E97" s="7" t="s">
        <v>56</v>
      </c>
      <c r="F97" s="7" t="s">
        <v>46</v>
      </c>
      <c r="G97" s="5" t="n">
        <v>2</v>
      </c>
      <c r="H97" s="8" t="n">
        <v>334.58</v>
      </c>
      <c r="I97" s="5" t="s">
        <v>28</v>
      </c>
      <c r="J97" s="9" t="n">
        <f aca="false">G97*H97</f>
        <v>669.16</v>
      </c>
    </row>
    <row r="98" customFormat="false" ht="15" hidden="false" customHeight="true" outlineLevel="0" collapsed="false">
      <c r="A98" s="5" t="s">
        <v>190</v>
      </c>
      <c r="B98" s="6" t="n">
        <v>45656</v>
      </c>
      <c r="C98" s="5" t="s">
        <v>191</v>
      </c>
      <c r="D98" s="7" t="s">
        <v>192</v>
      </c>
      <c r="E98" s="7" t="s">
        <v>15</v>
      </c>
      <c r="F98" s="7" t="s">
        <v>16</v>
      </c>
      <c r="G98" s="5" t="n">
        <v>3</v>
      </c>
      <c r="H98" s="8" t="n">
        <v>24.47</v>
      </c>
      <c r="I98" s="5" t="s">
        <v>28</v>
      </c>
      <c r="J98" s="9" t="n">
        <f aca="false">G98*H98</f>
        <v>73.41</v>
      </c>
    </row>
    <row r="99" customFormat="false" ht="15" hidden="false" customHeight="true" outlineLevel="0" collapsed="false">
      <c r="A99" s="5" t="s">
        <v>193</v>
      </c>
      <c r="B99" s="6" t="n">
        <v>45661</v>
      </c>
      <c r="C99" s="5" t="s">
        <v>58</v>
      </c>
      <c r="D99" s="7" t="s">
        <v>59</v>
      </c>
      <c r="E99" s="7" t="s">
        <v>60</v>
      </c>
      <c r="F99" s="7" t="s">
        <v>61</v>
      </c>
      <c r="G99" s="5" t="n">
        <v>5</v>
      </c>
      <c r="H99" s="8" t="n">
        <v>59.95</v>
      </c>
      <c r="I99" s="5" t="s">
        <v>22</v>
      </c>
      <c r="J99" s="9" t="n">
        <f aca="false">G99*H99</f>
        <v>299.75</v>
      </c>
    </row>
    <row r="100" customFormat="false" ht="15" hidden="false" customHeight="true" outlineLevel="0" collapsed="false">
      <c r="A100" s="5" t="s">
        <v>194</v>
      </c>
      <c r="B100" s="6" t="n">
        <v>45666</v>
      </c>
      <c r="C100" s="5" t="s">
        <v>101</v>
      </c>
      <c r="D100" s="7" t="s">
        <v>102</v>
      </c>
      <c r="E100" s="7" t="s">
        <v>125</v>
      </c>
      <c r="F100" s="7" t="s">
        <v>16</v>
      </c>
      <c r="G100" s="5" t="n">
        <v>5</v>
      </c>
      <c r="H100" s="8" t="n">
        <v>70.67</v>
      </c>
      <c r="I100" s="5" t="s">
        <v>22</v>
      </c>
      <c r="J100" s="9" t="n">
        <f aca="false">G100*H100</f>
        <v>353.35</v>
      </c>
    </row>
    <row r="101" customFormat="false" ht="15" hidden="false" customHeight="true" outlineLevel="0" collapsed="false">
      <c r="A101" s="5" t="s">
        <v>195</v>
      </c>
      <c r="B101" s="6" t="n">
        <v>45678</v>
      </c>
      <c r="C101" s="5" t="s">
        <v>70</v>
      </c>
      <c r="D101" s="7" t="s">
        <v>71</v>
      </c>
      <c r="E101" s="7" t="s">
        <v>51</v>
      </c>
      <c r="F101" s="7" t="s">
        <v>52</v>
      </c>
      <c r="G101" s="5" t="n">
        <v>4</v>
      </c>
      <c r="H101" s="8" t="n">
        <v>8.96</v>
      </c>
      <c r="I101" s="5" t="s">
        <v>28</v>
      </c>
      <c r="J101" s="9" t="n">
        <f aca="false">G101*H101</f>
        <v>35.84</v>
      </c>
    </row>
    <row r="102" customFormat="false" ht="15" hidden="false" customHeight="true" outlineLevel="0" collapsed="false">
      <c r="A102" s="5" t="s">
        <v>196</v>
      </c>
      <c r="B102" s="6" t="n">
        <v>45686</v>
      </c>
      <c r="C102" s="5" t="s">
        <v>191</v>
      </c>
      <c r="D102" s="7" t="s">
        <v>192</v>
      </c>
      <c r="E102" s="7" t="s">
        <v>86</v>
      </c>
      <c r="F102" s="7" t="s">
        <v>27</v>
      </c>
      <c r="G102" s="5" t="n">
        <v>2</v>
      </c>
      <c r="H102" s="8" t="n">
        <v>387.17</v>
      </c>
      <c r="I102" s="5" t="s">
        <v>17</v>
      </c>
      <c r="J102" s="9" t="n">
        <f aca="false">G102*H102</f>
        <v>774.34</v>
      </c>
    </row>
    <row r="103" customFormat="false" ht="15" hidden="false" customHeight="true" outlineLevel="0" collapsed="false">
      <c r="A103" s="5" t="s">
        <v>197</v>
      </c>
      <c r="B103" s="6" t="n">
        <v>45688</v>
      </c>
      <c r="C103" s="5" t="s">
        <v>198</v>
      </c>
      <c r="D103" s="7" t="s">
        <v>199</v>
      </c>
      <c r="E103" s="7" t="s">
        <v>45</v>
      </c>
      <c r="F103" s="7" t="s">
        <v>46</v>
      </c>
      <c r="G103" s="5" t="n">
        <v>5</v>
      </c>
      <c r="H103" s="8" t="n">
        <v>87.28</v>
      </c>
      <c r="I103" s="5" t="s">
        <v>22</v>
      </c>
      <c r="J103" s="9" t="n">
        <f aca="false">G103*H103</f>
        <v>436.4</v>
      </c>
    </row>
    <row r="104" customFormat="false" ht="15" hidden="false" customHeight="true" outlineLevel="0" collapsed="false">
      <c r="A104" s="5" t="s">
        <v>200</v>
      </c>
      <c r="B104" s="6" t="n">
        <v>45689</v>
      </c>
      <c r="C104" s="5" t="s">
        <v>123</v>
      </c>
      <c r="D104" s="7" t="s">
        <v>124</v>
      </c>
      <c r="E104" s="7" t="s">
        <v>15</v>
      </c>
      <c r="F104" s="7" t="s">
        <v>16</v>
      </c>
      <c r="G104" s="5" t="n">
        <v>1</v>
      </c>
      <c r="H104" s="8" t="n">
        <v>24.4</v>
      </c>
      <c r="I104" s="5" t="s">
        <v>35</v>
      </c>
      <c r="J104" s="9" t="n">
        <f aca="false">G104*H104</f>
        <v>24.4</v>
      </c>
    </row>
    <row r="105" customFormat="false" ht="15" hidden="false" customHeight="true" outlineLevel="0" collapsed="false">
      <c r="A105" s="5" t="s">
        <v>201</v>
      </c>
      <c r="B105" s="6" t="n">
        <v>45692</v>
      </c>
      <c r="C105" s="5" t="s">
        <v>19</v>
      </c>
      <c r="D105" s="7" t="s">
        <v>20</v>
      </c>
      <c r="E105" s="7" t="s">
        <v>21</v>
      </c>
      <c r="F105" s="7" t="s">
        <v>16</v>
      </c>
      <c r="G105" s="5" t="n">
        <v>5</v>
      </c>
      <c r="H105" s="8" t="n">
        <v>33.27</v>
      </c>
      <c r="I105" s="5" t="s">
        <v>22</v>
      </c>
      <c r="J105" s="9" t="n">
        <f aca="false">G105*H105</f>
        <v>166.35</v>
      </c>
    </row>
    <row r="106" customFormat="false" ht="15" hidden="false" customHeight="true" outlineLevel="0" collapsed="false">
      <c r="A106" s="5" t="s">
        <v>202</v>
      </c>
      <c r="B106" s="6" t="n">
        <v>45696</v>
      </c>
      <c r="C106" s="5" t="s">
        <v>13</v>
      </c>
      <c r="D106" s="7" t="s">
        <v>14</v>
      </c>
      <c r="E106" s="7" t="s">
        <v>26</v>
      </c>
      <c r="F106" s="7" t="s">
        <v>27</v>
      </c>
      <c r="G106" s="5" t="n">
        <v>5</v>
      </c>
      <c r="H106" s="8" t="n">
        <v>39.88</v>
      </c>
      <c r="I106" s="5" t="s">
        <v>17</v>
      </c>
      <c r="J106" s="9" t="n">
        <f aca="false">G106*H106</f>
        <v>199.4</v>
      </c>
    </row>
    <row r="107" customFormat="false" ht="15" hidden="false" customHeight="true" outlineLevel="0" collapsed="false">
      <c r="A107" s="5" t="s">
        <v>203</v>
      </c>
      <c r="B107" s="6" t="n">
        <v>45696</v>
      </c>
      <c r="C107" s="5" t="s">
        <v>73</v>
      </c>
      <c r="D107" s="7" t="s">
        <v>74</v>
      </c>
      <c r="E107" s="7" t="s">
        <v>67</v>
      </c>
      <c r="F107" s="7" t="s">
        <v>52</v>
      </c>
      <c r="G107" s="5" t="n">
        <v>3</v>
      </c>
      <c r="H107" s="8" t="n">
        <v>12.5</v>
      </c>
      <c r="I107" s="5" t="s">
        <v>35</v>
      </c>
      <c r="J107" s="9" t="n">
        <f aca="false">G107*H107</f>
        <v>37.5</v>
      </c>
    </row>
    <row r="108" customFormat="false" ht="15" hidden="false" customHeight="true" outlineLevel="0" collapsed="false">
      <c r="A108" s="5" t="s">
        <v>204</v>
      </c>
      <c r="B108" s="6" t="n">
        <v>45704</v>
      </c>
      <c r="C108" s="5" t="s">
        <v>147</v>
      </c>
      <c r="D108" s="7" t="s">
        <v>148</v>
      </c>
      <c r="E108" s="7" t="s">
        <v>120</v>
      </c>
      <c r="F108" s="7" t="s">
        <v>52</v>
      </c>
      <c r="G108" s="5" t="n">
        <v>1</v>
      </c>
      <c r="H108" s="8" t="n">
        <v>6.49</v>
      </c>
      <c r="I108" s="5" t="s">
        <v>17</v>
      </c>
      <c r="J108" s="9" t="n">
        <f aca="false">G108*H108</f>
        <v>6.49</v>
      </c>
    </row>
    <row r="109" customFormat="false" ht="15" hidden="false" customHeight="true" outlineLevel="0" collapsed="false">
      <c r="A109" s="5" t="s">
        <v>205</v>
      </c>
      <c r="B109" s="6" t="n">
        <v>45707</v>
      </c>
      <c r="C109" s="5" t="s">
        <v>105</v>
      </c>
      <c r="D109" s="7" t="s">
        <v>106</v>
      </c>
      <c r="E109" s="7" t="s">
        <v>65</v>
      </c>
      <c r="F109" s="7" t="s">
        <v>40</v>
      </c>
      <c r="G109" s="5" t="n">
        <v>4</v>
      </c>
      <c r="H109" s="8" t="n">
        <v>20.62</v>
      </c>
      <c r="I109" s="5" t="s">
        <v>22</v>
      </c>
      <c r="J109" s="9" t="n">
        <f aca="false">G109*H109</f>
        <v>82.48</v>
      </c>
    </row>
    <row r="110" customFormat="false" ht="15" hidden="false" customHeight="true" outlineLevel="0" collapsed="false">
      <c r="A110" s="5" t="s">
        <v>206</v>
      </c>
      <c r="B110" s="6" t="n">
        <v>45712</v>
      </c>
      <c r="C110" s="5" t="s">
        <v>70</v>
      </c>
      <c r="D110" s="7" t="s">
        <v>71</v>
      </c>
      <c r="E110" s="7" t="s">
        <v>39</v>
      </c>
      <c r="F110" s="7" t="s">
        <v>40</v>
      </c>
      <c r="G110" s="5" t="n">
        <v>4</v>
      </c>
      <c r="H110" s="8" t="n">
        <v>54.67</v>
      </c>
      <c r="I110" s="5" t="s">
        <v>41</v>
      </c>
      <c r="J110" s="9" t="n">
        <f aca="false">G110*H110</f>
        <v>218.68</v>
      </c>
    </row>
    <row r="111" customFormat="false" ht="15" hidden="false" customHeight="true" outlineLevel="0" collapsed="false">
      <c r="A111" s="5" t="s">
        <v>207</v>
      </c>
      <c r="B111" s="6" t="n">
        <v>45713</v>
      </c>
      <c r="C111" s="5" t="s">
        <v>24</v>
      </c>
      <c r="D111" s="7" t="s">
        <v>25</v>
      </c>
      <c r="E111" s="7" t="s">
        <v>67</v>
      </c>
      <c r="F111" s="7" t="s">
        <v>52</v>
      </c>
      <c r="G111" s="5" t="n">
        <v>2</v>
      </c>
      <c r="H111" s="8" t="n">
        <v>12.7</v>
      </c>
      <c r="I111" s="5" t="s">
        <v>28</v>
      </c>
      <c r="J111" s="9" t="n">
        <f aca="false">G111*H111</f>
        <v>25.4</v>
      </c>
    </row>
    <row r="112" customFormat="false" ht="15" hidden="false" customHeight="true" outlineLevel="0" collapsed="false">
      <c r="A112" s="5" t="s">
        <v>208</v>
      </c>
      <c r="B112" s="6" t="n">
        <v>45717</v>
      </c>
      <c r="C112" s="5" t="s">
        <v>147</v>
      </c>
      <c r="D112" s="7" t="s">
        <v>148</v>
      </c>
      <c r="E112" s="7" t="s">
        <v>81</v>
      </c>
      <c r="F112" s="7" t="s">
        <v>61</v>
      </c>
      <c r="G112" s="5" t="n">
        <v>4</v>
      </c>
      <c r="H112" s="8" t="n">
        <v>100.53</v>
      </c>
      <c r="I112" s="5" t="s">
        <v>17</v>
      </c>
      <c r="J112" s="9" t="n">
        <f aca="false">G112*H112</f>
        <v>402.12</v>
      </c>
    </row>
    <row r="113" customFormat="false" ht="15" hidden="false" customHeight="true" outlineLevel="0" collapsed="false">
      <c r="A113" s="5" t="s">
        <v>209</v>
      </c>
      <c r="B113" s="6" t="n">
        <v>45721</v>
      </c>
      <c r="C113" s="5" t="s">
        <v>96</v>
      </c>
      <c r="D113" s="7" t="s">
        <v>97</v>
      </c>
      <c r="E113" s="7" t="s">
        <v>54</v>
      </c>
      <c r="F113" s="7" t="s">
        <v>46</v>
      </c>
      <c r="G113" s="5" t="n">
        <v>1</v>
      </c>
      <c r="H113" s="8" t="n">
        <v>29.2</v>
      </c>
      <c r="I113" s="5" t="s">
        <v>22</v>
      </c>
      <c r="J113" s="9" t="n">
        <f aca="false">G113*H113</f>
        <v>29.2</v>
      </c>
    </row>
    <row r="114" customFormat="false" ht="15" hidden="false" customHeight="true" outlineLevel="0" collapsed="false">
      <c r="A114" s="5" t="s">
        <v>210</v>
      </c>
      <c r="B114" s="6" t="n">
        <v>45722</v>
      </c>
      <c r="C114" s="5" t="s">
        <v>123</v>
      </c>
      <c r="D114" s="7" t="s">
        <v>124</v>
      </c>
      <c r="E114" s="7" t="s">
        <v>15</v>
      </c>
      <c r="F114" s="7" t="s">
        <v>16</v>
      </c>
      <c r="G114" s="5" t="n">
        <v>1</v>
      </c>
      <c r="H114" s="8" t="n">
        <v>25.93</v>
      </c>
      <c r="I114" s="5" t="s">
        <v>28</v>
      </c>
      <c r="J114" s="9" t="n">
        <f aca="false">G114*H114</f>
        <v>25.93</v>
      </c>
    </row>
    <row r="115" customFormat="false" ht="15" hidden="false" customHeight="true" outlineLevel="0" collapsed="false">
      <c r="A115" s="5" t="s">
        <v>211</v>
      </c>
      <c r="B115" s="6" t="n">
        <v>45726</v>
      </c>
      <c r="C115" s="5" t="s">
        <v>147</v>
      </c>
      <c r="D115" s="7" t="s">
        <v>148</v>
      </c>
      <c r="E115" s="7" t="s">
        <v>65</v>
      </c>
      <c r="F115" s="7" t="s">
        <v>40</v>
      </c>
      <c r="G115" s="5" t="n">
        <v>1</v>
      </c>
      <c r="H115" s="8" t="n">
        <v>20.34</v>
      </c>
      <c r="I115" s="5" t="s">
        <v>35</v>
      </c>
      <c r="J115" s="9" t="n">
        <f aca="false">G115*H115</f>
        <v>20.34</v>
      </c>
    </row>
    <row r="116" customFormat="false" ht="15" hidden="false" customHeight="true" outlineLevel="0" collapsed="false">
      <c r="A116" s="5" t="s">
        <v>212</v>
      </c>
      <c r="B116" s="6" t="n">
        <v>45728</v>
      </c>
      <c r="C116" s="5" t="s">
        <v>73</v>
      </c>
      <c r="D116" s="7" t="s">
        <v>74</v>
      </c>
      <c r="E116" s="7" t="s">
        <v>120</v>
      </c>
      <c r="F116" s="7" t="s">
        <v>52</v>
      </c>
      <c r="G116" s="5" t="n">
        <v>4</v>
      </c>
      <c r="H116" s="8" t="n">
        <v>6.65</v>
      </c>
      <c r="I116" s="5" t="s">
        <v>17</v>
      </c>
      <c r="J116" s="9" t="n">
        <f aca="false">G116*H116</f>
        <v>26.6</v>
      </c>
    </row>
    <row r="117" customFormat="false" ht="15" hidden="false" customHeight="true" outlineLevel="0" collapsed="false">
      <c r="A117" s="5" t="s">
        <v>213</v>
      </c>
      <c r="B117" s="6" t="n">
        <v>45729</v>
      </c>
      <c r="C117" s="5" t="s">
        <v>129</v>
      </c>
      <c r="D117" s="7" t="s">
        <v>130</v>
      </c>
      <c r="E117" s="7" t="s">
        <v>139</v>
      </c>
      <c r="F117" s="7" t="s">
        <v>46</v>
      </c>
      <c r="G117" s="5" t="n">
        <v>1</v>
      </c>
      <c r="H117" s="8" t="n">
        <v>50.26</v>
      </c>
      <c r="I117" s="5" t="s">
        <v>22</v>
      </c>
      <c r="J117" s="9" t="n">
        <f aca="false">G117*H117</f>
        <v>50.26</v>
      </c>
    </row>
    <row r="118" customFormat="false" ht="15" hidden="false" customHeight="true" outlineLevel="0" collapsed="false">
      <c r="A118" s="5" t="s">
        <v>214</v>
      </c>
      <c r="B118" s="6" t="n">
        <v>45731</v>
      </c>
      <c r="C118" s="5" t="s">
        <v>215</v>
      </c>
      <c r="D118" s="7" t="s">
        <v>216</v>
      </c>
      <c r="E118" s="7" t="s">
        <v>67</v>
      </c>
      <c r="F118" s="7" t="s">
        <v>52</v>
      </c>
      <c r="G118" s="5" t="n">
        <v>3</v>
      </c>
      <c r="H118" s="8" t="n">
        <v>13.25</v>
      </c>
      <c r="I118" s="5" t="s">
        <v>22</v>
      </c>
      <c r="J118" s="9" t="n">
        <f aca="false">G118*H118</f>
        <v>39.75</v>
      </c>
    </row>
    <row r="119" customFormat="false" ht="15" hidden="false" customHeight="true" outlineLevel="0" collapsed="false">
      <c r="A119" s="5" t="s">
        <v>217</v>
      </c>
      <c r="B119" s="6" t="n">
        <v>45731</v>
      </c>
      <c r="C119" s="5" t="s">
        <v>70</v>
      </c>
      <c r="D119" s="7" t="s">
        <v>71</v>
      </c>
      <c r="E119" s="7" t="s">
        <v>81</v>
      </c>
      <c r="F119" s="7" t="s">
        <v>61</v>
      </c>
      <c r="G119" s="5" t="n">
        <v>5</v>
      </c>
      <c r="H119" s="8" t="n">
        <v>103.2</v>
      </c>
      <c r="I119" s="5" t="s">
        <v>17</v>
      </c>
      <c r="J119" s="9" t="n">
        <f aca="false">G119*H119</f>
        <v>516</v>
      </c>
    </row>
    <row r="120" customFormat="false" ht="15" hidden="false" customHeight="true" outlineLevel="0" collapsed="false">
      <c r="A120" s="5" t="s">
        <v>218</v>
      </c>
      <c r="B120" s="6" t="n">
        <v>45740</v>
      </c>
      <c r="C120" s="5" t="s">
        <v>33</v>
      </c>
      <c r="D120" s="7" t="s">
        <v>34</v>
      </c>
      <c r="E120" s="7" t="s">
        <v>56</v>
      </c>
      <c r="F120" s="7" t="s">
        <v>46</v>
      </c>
      <c r="G120" s="5" t="n">
        <v>1</v>
      </c>
      <c r="H120" s="8" t="n">
        <v>345.42</v>
      </c>
      <c r="I120" s="5" t="s">
        <v>35</v>
      </c>
      <c r="J120" s="9" t="n">
        <f aca="false">G120*H120</f>
        <v>345.42</v>
      </c>
    </row>
    <row r="121" customFormat="false" ht="15" hidden="false" customHeight="true" outlineLevel="0" collapsed="false">
      <c r="A121" s="5" t="s">
        <v>219</v>
      </c>
      <c r="B121" s="6" t="n">
        <v>45741</v>
      </c>
      <c r="C121" s="5" t="s">
        <v>123</v>
      </c>
      <c r="D121" s="7" t="s">
        <v>124</v>
      </c>
      <c r="E121" s="7" t="s">
        <v>21</v>
      </c>
      <c r="F121" s="7" t="s">
        <v>16</v>
      </c>
      <c r="G121" s="5" t="n">
        <v>3</v>
      </c>
      <c r="H121" s="8" t="n">
        <v>34.02</v>
      </c>
      <c r="I121" s="5" t="s">
        <v>35</v>
      </c>
      <c r="J121" s="9" t="n">
        <f aca="false">G121*H121</f>
        <v>102.06</v>
      </c>
    </row>
    <row r="122" customFormat="false" ht="15" hidden="false" customHeight="true" outlineLevel="0" collapsed="false">
      <c r="A122" s="5" t="s">
        <v>220</v>
      </c>
      <c r="B122" s="6" t="n">
        <v>45741</v>
      </c>
      <c r="C122" s="5" t="s">
        <v>105</v>
      </c>
      <c r="D122" s="7" t="s">
        <v>106</v>
      </c>
      <c r="E122" s="7" t="s">
        <v>54</v>
      </c>
      <c r="F122" s="7" t="s">
        <v>46</v>
      </c>
      <c r="G122" s="5" t="n">
        <v>2</v>
      </c>
      <c r="H122" s="8" t="n">
        <v>30.83</v>
      </c>
      <c r="I122" s="5" t="s">
        <v>28</v>
      </c>
      <c r="J122" s="9" t="n">
        <f aca="false">G122*H122</f>
        <v>61.66</v>
      </c>
    </row>
    <row r="123" customFormat="false" ht="15" hidden="false" customHeight="true" outlineLevel="0" collapsed="false">
      <c r="A123" s="5" t="s">
        <v>221</v>
      </c>
      <c r="B123" s="6" t="n">
        <v>45742</v>
      </c>
      <c r="C123" s="5" t="s">
        <v>37</v>
      </c>
      <c r="D123" s="7" t="s">
        <v>38</v>
      </c>
      <c r="E123" s="7" t="s">
        <v>67</v>
      </c>
      <c r="F123" s="7" t="s">
        <v>52</v>
      </c>
      <c r="G123" s="5" t="n">
        <v>5</v>
      </c>
      <c r="H123" s="8" t="n">
        <v>13.22</v>
      </c>
      <c r="I123" s="5" t="s">
        <v>41</v>
      </c>
      <c r="J123" s="9" t="n">
        <f aca="false">G123*H123</f>
        <v>66.1</v>
      </c>
    </row>
    <row r="124" customFormat="false" ht="15" hidden="false" customHeight="true" outlineLevel="0" collapsed="false">
      <c r="A124" s="5" t="s">
        <v>222</v>
      </c>
      <c r="B124" s="6" t="n">
        <v>45749</v>
      </c>
      <c r="C124" s="5" t="s">
        <v>70</v>
      </c>
      <c r="D124" s="7" t="s">
        <v>71</v>
      </c>
      <c r="E124" s="7" t="s">
        <v>54</v>
      </c>
      <c r="F124" s="7" t="s">
        <v>46</v>
      </c>
      <c r="G124" s="5" t="n">
        <v>2</v>
      </c>
      <c r="H124" s="8" t="n">
        <v>30.49</v>
      </c>
      <c r="I124" s="5" t="s">
        <v>35</v>
      </c>
      <c r="J124" s="9" t="n">
        <f aca="false">G124*H124</f>
        <v>60.98</v>
      </c>
    </row>
    <row r="125" customFormat="false" ht="15" hidden="false" customHeight="true" outlineLevel="0" collapsed="false">
      <c r="A125" s="5" t="s">
        <v>223</v>
      </c>
      <c r="B125" s="6" t="n">
        <v>45754</v>
      </c>
      <c r="C125" s="5" t="s">
        <v>134</v>
      </c>
      <c r="D125" s="7" t="s">
        <v>135</v>
      </c>
      <c r="E125" s="7" t="s">
        <v>45</v>
      </c>
      <c r="F125" s="7" t="s">
        <v>46</v>
      </c>
      <c r="G125" s="5" t="n">
        <v>3</v>
      </c>
      <c r="H125" s="8" t="n">
        <v>86.01</v>
      </c>
      <c r="I125" s="5" t="s">
        <v>35</v>
      </c>
      <c r="J125" s="9" t="n">
        <f aca="false">G125*H125</f>
        <v>258.03</v>
      </c>
    </row>
    <row r="126" customFormat="false" ht="15" hidden="false" customHeight="true" outlineLevel="0" collapsed="false">
      <c r="A126" s="5" t="s">
        <v>224</v>
      </c>
      <c r="B126" s="6" t="n">
        <v>45766</v>
      </c>
      <c r="C126" s="5" t="s">
        <v>58</v>
      </c>
      <c r="D126" s="7" t="s">
        <v>59</v>
      </c>
      <c r="E126" s="7" t="s">
        <v>150</v>
      </c>
      <c r="F126" s="7" t="s">
        <v>61</v>
      </c>
      <c r="G126" s="5" t="n">
        <v>4</v>
      </c>
      <c r="H126" s="8" t="n">
        <v>77.94</v>
      </c>
      <c r="I126" s="5" t="s">
        <v>35</v>
      </c>
      <c r="J126" s="9" t="n">
        <f aca="false">G126*H126</f>
        <v>311.76</v>
      </c>
    </row>
    <row r="127" customFormat="false" ht="15" hidden="false" customHeight="true" outlineLevel="0" collapsed="false">
      <c r="A127" s="5" t="s">
        <v>225</v>
      </c>
      <c r="B127" s="6" t="n">
        <v>45767</v>
      </c>
      <c r="C127" s="5" t="s">
        <v>93</v>
      </c>
      <c r="D127" s="7" t="s">
        <v>94</v>
      </c>
      <c r="E127" s="7" t="s">
        <v>51</v>
      </c>
      <c r="F127" s="7" t="s">
        <v>52</v>
      </c>
      <c r="G127" s="5" t="n">
        <v>4</v>
      </c>
      <c r="H127" s="8" t="n">
        <v>8.61</v>
      </c>
      <c r="I127" s="5" t="s">
        <v>35</v>
      </c>
      <c r="J127" s="9" t="n">
        <f aca="false">G127*H127</f>
        <v>34.44</v>
      </c>
    </row>
    <row r="128" customFormat="false" ht="15" hidden="false" customHeight="true" outlineLevel="0" collapsed="false">
      <c r="A128" s="5" t="s">
        <v>226</v>
      </c>
      <c r="B128" s="6" t="n">
        <v>45769</v>
      </c>
      <c r="C128" s="5" t="s">
        <v>215</v>
      </c>
      <c r="D128" s="7" t="s">
        <v>216</v>
      </c>
      <c r="E128" s="7" t="s">
        <v>120</v>
      </c>
      <c r="F128" s="7" t="s">
        <v>52</v>
      </c>
      <c r="G128" s="5" t="n">
        <v>4</v>
      </c>
      <c r="H128" s="8" t="n">
        <v>6.73</v>
      </c>
      <c r="I128" s="5" t="s">
        <v>17</v>
      </c>
      <c r="J128" s="9" t="n">
        <f aca="false">G128*H128</f>
        <v>26.92</v>
      </c>
    </row>
    <row r="129" customFormat="false" ht="15" hidden="false" customHeight="true" outlineLevel="0" collapsed="false">
      <c r="A129" s="5" t="s">
        <v>227</v>
      </c>
      <c r="B129" s="6" t="n">
        <v>45771</v>
      </c>
      <c r="C129" s="5" t="s">
        <v>110</v>
      </c>
      <c r="D129" s="7" t="s">
        <v>111</v>
      </c>
      <c r="E129" s="7" t="s">
        <v>81</v>
      </c>
      <c r="F129" s="7" t="s">
        <v>61</v>
      </c>
      <c r="G129" s="5" t="n">
        <v>2</v>
      </c>
      <c r="H129" s="8" t="n">
        <v>100.68</v>
      </c>
      <c r="I129" s="5" t="s">
        <v>22</v>
      </c>
      <c r="J129" s="9" t="n">
        <f aca="false">G129*H129</f>
        <v>201.36</v>
      </c>
    </row>
    <row r="130" customFormat="false" ht="15" hidden="false" customHeight="true" outlineLevel="0" collapsed="false">
      <c r="A130" s="5" t="s">
        <v>228</v>
      </c>
      <c r="B130" s="6" t="n">
        <v>45772</v>
      </c>
      <c r="C130" s="5" t="s">
        <v>117</v>
      </c>
      <c r="D130" s="7" t="s">
        <v>118</v>
      </c>
      <c r="E130" s="7" t="s">
        <v>15</v>
      </c>
      <c r="F130" s="7" t="s">
        <v>16</v>
      </c>
      <c r="G130" s="5" t="n">
        <v>3</v>
      </c>
      <c r="H130" s="8" t="n">
        <v>25.92</v>
      </c>
      <c r="I130" s="5" t="s">
        <v>41</v>
      </c>
      <c r="J130" s="9" t="n">
        <f aca="false">G130*H130</f>
        <v>77.76</v>
      </c>
    </row>
    <row r="131" customFormat="false" ht="15" hidden="false" customHeight="true" outlineLevel="0" collapsed="false">
      <c r="A131" s="5" t="s">
        <v>229</v>
      </c>
      <c r="B131" s="6" t="n">
        <v>45773</v>
      </c>
      <c r="C131" s="5" t="s">
        <v>101</v>
      </c>
      <c r="D131" s="7" t="s">
        <v>102</v>
      </c>
      <c r="E131" s="7" t="s">
        <v>125</v>
      </c>
      <c r="F131" s="7" t="s">
        <v>16</v>
      </c>
      <c r="G131" s="5" t="n">
        <v>4</v>
      </c>
      <c r="H131" s="8" t="n">
        <v>69.96</v>
      </c>
      <c r="I131" s="5" t="s">
        <v>35</v>
      </c>
      <c r="J131" s="9" t="n">
        <f aca="false">G131*H131</f>
        <v>279.84</v>
      </c>
    </row>
    <row r="132" customFormat="false" ht="15" hidden="false" customHeight="true" outlineLevel="0" collapsed="false">
      <c r="A132" s="5" t="s">
        <v>230</v>
      </c>
      <c r="B132" s="6" t="n">
        <v>45774</v>
      </c>
      <c r="C132" s="5" t="s">
        <v>49</v>
      </c>
      <c r="D132" s="7" t="s">
        <v>50</v>
      </c>
      <c r="E132" s="7" t="s">
        <v>45</v>
      </c>
      <c r="F132" s="7" t="s">
        <v>46</v>
      </c>
      <c r="G132" s="5" t="n">
        <v>1</v>
      </c>
      <c r="H132" s="8" t="n">
        <v>87.49</v>
      </c>
      <c r="I132" s="5" t="s">
        <v>41</v>
      </c>
      <c r="J132" s="9" t="n">
        <f aca="false">G132*H132</f>
        <v>87.49</v>
      </c>
    </row>
    <row r="133" customFormat="false" ht="15" hidden="false" customHeight="true" outlineLevel="0" collapsed="false">
      <c r="A133" s="5" t="s">
        <v>231</v>
      </c>
      <c r="B133" s="6" t="n">
        <v>45775</v>
      </c>
      <c r="C133" s="5" t="s">
        <v>49</v>
      </c>
      <c r="D133" s="7" t="s">
        <v>50</v>
      </c>
      <c r="E133" s="7" t="s">
        <v>26</v>
      </c>
      <c r="F133" s="7" t="s">
        <v>27</v>
      </c>
      <c r="G133" s="5" t="n">
        <v>2</v>
      </c>
      <c r="H133" s="8" t="n">
        <v>38.17</v>
      </c>
      <c r="I133" s="5" t="s">
        <v>41</v>
      </c>
      <c r="J133" s="9" t="n">
        <f aca="false">G133*H133</f>
        <v>76.34</v>
      </c>
    </row>
    <row r="134" customFormat="false" ht="15" hidden="false" customHeight="true" outlineLevel="0" collapsed="false">
      <c r="A134" s="5" t="s">
        <v>232</v>
      </c>
      <c r="B134" s="6" t="n">
        <v>45776</v>
      </c>
      <c r="C134" s="5" t="s">
        <v>24</v>
      </c>
      <c r="D134" s="7" t="s">
        <v>25</v>
      </c>
      <c r="E134" s="7" t="s">
        <v>86</v>
      </c>
      <c r="F134" s="7" t="s">
        <v>27</v>
      </c>
      <c r="G134" s="5" t="n">
        <v>4</v>
      </c>
      <c r="H134" s="8" t="n">
        <v>389.75</v>
      </c>
      <c r="I134" s="5" t="s">
        <v>41</v>
      </c>
      <c r="J134" s="9" t="n">
        <f aca="false">G134*H134</f>
        <v>1559</v>
      </c>
    </row>
    <row r="135" customFormat="false" ht="15" hidden="false" customHeight="true" outlineLevel="0" collapsed="false">
      <c r="A135" s="5" t="s">
        <v>233</v>
      </c>
      <c r="B135" s="6" t="n">
        <v>45781</v>
      </c>
      <c r="C135" s="5" t="s">
        <v>90</v>
      </c>
      <c r="D135" s="7" t="s">
        <v>91</v>
      </c>
      <c r="E135" s="7" t="s">
        <v>107</v>
      </c>
      <c r="F135" s="7" t="s">
        <v>46</v>
      </c>
      <c r="G135" s="5" t="n">
        <v>3</v>
      </c>
      <c r="H135" s="8" t="n">
        <v>1328.12</v>
      </c>
      <c r="I135" s="5" t="s">
        <v>41</v>
      </c>
      <c r="J135" s="9" t="n">
        <f aca="false">G135*H135</f>
        <v>3984.36</v>
      </c>
    </row>
    <row r="136" customFormat="false" ht="15" hidden="false" customHeight="true" outlineLevel="0" collapsed="false">
      <c r="A136" s="5" t="s">
        <v>234</v>
      </c>
      <c r="B136" s="6" t="n">
        <v>45782</v>
      </c>
      <c r="C136" s="5" t="s">
        <v>215</v>
      </c>
      <c r="D136" s="7" t="s">
        <v>216</v>
      </c>
      <c r="E136" s="7" t="s">
        <v>51</v>
      </c>
      <c r="F136" s="7" t="s">
        <v>52</v>
      </c>
      <c r="G136" s="5" t="n">
        <v>4</v>
      </c>
      <c r="H136" s="8" t="n">
        <v>9.21</v>
      </c>
      <c r="I136" s="5" t="s">
        <v>22</v>
      </c>
      <c r="J136" s="9" t="n">
        <f aca="false">G136*H136</f>
        <v>36.84</v>
      </c>
    </row>
    <row r="137" customFormat="false" ht="15" hidden="false" customHeight="true" outlineLevel="0" collapsed="false">
      <c r="A137" s="5" t="s">
        <v>235</v>
      </c>
      <c r="B137" s="6" t="n">
        <v>45790</v>
      </c>
      <c r="C137" s="5" t="s">
        <v>33</v>
      </c>
      <c r="D137" s="7" t="s">
        <v>34</v>
      </c>
      <c r="E137" s="7" t="s">
        <v>120</v>
      </c>
      <c r="F137" s="7" t="s">
        <v>52</v>
      </c>
      <c r="G137" s="5" t="n">
        <v>1</v>
      </c>
      <c r="H137" s="8" t="n">
        <v>6.72</v>
      </c>
      <c r="I137" s="5" t="s">
        <v>17</v>
      </c>
      <c r="J137" s="9" t="n">
        <f aca="false">G137*H137</f>
        <v>6.72</v>
      </c>
    </row>
    <row r="138" customFormat="false" ht="15" hidden="false" customHeight="true" outlineLevel="0" collapsed="false">
      <c r="A138" s="5" t="s">
        <v>236</v>
      </c>
      <c r="B138" s="6" t="n">
        <v>45791</v>
      </c>
      <c r="C138" s="5" t="s">
        <v>147</v>
      </c>
      <c r="D138" s="7" t="s">
        <v>148</v>
      </c>
      <c r="E138" s="7" t="s">
        <v>86</v>
      </c>
      <c r="F138" s="7" t="s">
        <v>27</v>
      </c>
      <c r="G138" s="5" t="n">
        <v>3</v>
      </c>
      <c r="H138" s="8" t="n">
        <v>414.56</v>
      </c>
      <c r="I138" s="5" t="s">
        <v>17</v>
      </c>
      <c r="J138" s="9" t="n">
        <f aca="false">G138*H138</f>
        <v>1243.68</v>
      </c>
    </row>
    <row r="139" customFormat="false" ht="15" hidden="false" customHeight="true" outlineLevel="0" collapsed="false">
      <c r="A139" s="5" t="s">
        <v>237</v>
      </c>
      <c r="B139" s="6" t="n">
        <v>45793</v>
      </c>
      <c r="C139" s="5" t="s">
        <v>78</v>
      </c>
      <c r="D139" s="7" t="s">
        <v>79</v>
      </c>
      <c r="E139" s="7" t="s">
        <v>120</v>
      </c>
      <c r="F139" s="7" t="s">
        <v>52</v>
      </c>
      <c r="G139" s="5" t="n">
        <v>3</v>
      </c>
      <c r="H139" s="8" t="n">
        <v>6.3</v>
      </c>
      <c r="I139" s="5" t="s">
        <v>28</v>
      </c>
      <c r="J139" s="9" t="n">
        <f aca="false">G139*H139</f>
        <v>18.9</v>
      </c>
    </row>
    <row r="140" customFormat="false" ht="15" hidden="false" customHeight="true" outlineLevel="0" collapsed="false">
      <c r="A140" s="5" t="s">
        <v>238</v>
      </c>
      <c r="B140" s="6" t="n">
        <v>45793</v>
      </c>
      <c r="C140" s="5" t="s">
        <v>90</v>
      </c>
      <c r="D140" s="7" t="s">
        <v>91</v>
      </c>
      <c r="E140" s="7" t="s">
        <v>86</v>
      </c>
      <c r="F140" s="7" t="s">
        <v>27</v>
      </c>
      <c r="G140" s="5" t="n">
        <v>1</v>
      </c>
      <c r="H140" s="8" t="n">
        <v>395.15</v>
      </c>
      <c r="I140" s="5" t="s">
        <v>35</v>
      </c>
      <c r="J140" s="9" t="n">
        <f aca="false">G140*H140</f>
        <v>395.15</v>
      </c>
    </row>
    <row r="141" customFormat="false" ht="15" hidden="false" customHeight="true" outlineLevel="0" collapsed="false">
      <c r="A141" s="5" t="s">
        <v>239</v>
      </c>
      <c r="B141" s="6" t="n">
        <v>45796</v>
      </c>
      <c r="C141" s="5" t="s">
        <v>166</v>
      </c>
      <c r="D141" s="7" t="s">
        <v>167</v>
      </c>
      <c r="E141" s="7" t="s">
        <v>45</v>
      </c>
      <c r="F141" s="7" t="s">
        <v>46</v>
      </c>
      <c r="G141" s="5" t="n">
        <v>5</v>
      </c>
      <c r="H141" s="8" t="n">
        <v>91.41</v>
      </c>
      <c r="I141" s="5" t="s">
        <v>28</v>
      </c>
      <c r="J141" s="9" t="n">
        <f aca="false">G141*H141</f>
        <v>457.05</v>
      </c>
    </row>
    <row r="142" customFormat="false" ht="15" hidden="false" customHeight="true" outlineLevel="0" collapsed="false">
      <c r="A142" s="5" t="s">
        <v>240</v>
      </c>
      <c r="B142" s="6" t="n">
        <v>45799</v>
      </c>
      <c r="C142" s="5" t="s">
        <v>215</v>
      </c>
      <c r="D142" s="7" t="s">
        <v>216</v>
      </c>
      <c r="E142" s="7" t="s">
        <v>15</v>
      </c>
      <c r="F142" s="7" t="s">
        <v>16</v>
      </c>
      <c r="G142" s="5" t="n">
        <v>5</v>
      </c>
      <c r="H142" s="8" t="n">
        <v>26.05</v>
      </c>
      <c r="I142" s="5" t="s">
        <v>35</v>
      </c>
      <c r="J142" s="9" t="n">
        <f aca="false">G142*H142</f>
        <v>130.25</v>
      </c>
    </row>
    <row r="143" customFormat="false" ht="15" hidden="false" customHeight="true" outlineLevel="0" collapsed="false">
      <c r="A143" s="5" t="s">
        <v>241</v>
      </c>
      <c r="B143" s="6" t="n">
        <v>45804</v>
      </c>
      <c r="C143" s="5" t="s">
        <v>93</v>
      </c>
      <c r="D143" s="7" t="s">
        <v>94</v>
      </c>
      <c r="E143" s="7" t="s">
        <v>120</v>
      </c>
      <c r="F143" s="7" t="s">
        <v>52</v>
      </c>
      <c r="G143" s="5" t="n">
        <v>2</v>
      </c>
      <c r="H143" s="8" t="n">
        <v>6.27</v>
      </c>
      <c r="I143" s="5" t="s">
        <v>17</v>
      </c>
      <c r="J143" s="9" t="n">
        <f aca="false">G143*H143</f>
        <v>12.54</v>
      </c>
    </row>
    <row r="144" customFormat="false" ht="15" hidden="false" customHeight="true" outlineLevel="0" collapsed="false">
      <c r="A144" s="5" t="s">
        <v>242</v>
      </c>
      <c r="B144" s="6" t="n">
        <v>45806</v>
      </c>
      <c r="C144" s="5" t="s">
        <v>105</v>
      </c>
      <c r="D144" s="7" t="s">
        <v>106</v>
      </c>
      <c r="E144" s="7" t="s">
        <v>21</v>
      </c>
      <c r="F144" s="7" t="s">
        <v>16</v>
      </c>
      <c r="G144" s="5" t="n">
        <v>1</v>
      </c>
      <c r="H144" s="8" t="n">
        <v>35.05</v>
      </c>
      <c r="I144" s="5" t="s">
        <v>35</v>
      </c>
      <c r="J144" s="9" t="n">
        <f aca="false">G144*H144</f>
        <v>35.05</v>
      </c>
    </row>
    <row r="145" customFormat="false" ht="15" hidden="false" customHeight="true" outlineLevel="0" collapsed="false">
      <c r="A145" s="5" t="s">
        <v>243</v>
      </c>
      <c r="B145" s="6" t="n">
        <v>45812</v>
      </c>
      <c r="C145" s="5" t="s">
        <v>110</v>
      </c>
      <c r="D145" s="7" t="s">
        <v>111</v>
      </c>
      <c r="E145" s="7" t="s">
        <v>15</v>
      </c>
      <c r="F145" s="7" t="s">
        <v>16</v>
      </c>
      <c r="G145" s="5" t="n">
        <v>2</v>
      </c>
      <c r="H145" s="8" t="n">
        <v>25.21</v>
      </c>
      <c r="I145" s="5" t="s">
        <v>41</v>
      </c>
      <c r="J145" s="9" t="n">
        <f aca="false">G145*H145</f>
        <v>50.42</v>
      </c>
    </row>
    <row r="146" customFormat="false" ht="15" hidden="false" customHeight="true" outlineLevel="0" collapsed="false">
      <c r="A146" s="5" t="s">
        <v>244</v>
      </c>
      <c r="B146" s="6" t="n">
        <v>45818</v>
      </c>
      <c r="C146" s="5" t="s">
        <v>198</v>
      </c>
      <c r="D146" s="7" t="s">
        <v>199</v>
      </c>
      <c r="E146" s="7" t="s">
        <v>150</v>
      </c>
      <c r="F146" s="7" t="s">
        <v>61</v>
      </c>
      <c r="G146" s="5" t="n">
        <v>5</v>
      </c>
      <c r="H146" s="8" t="n">
        <v>78.8</v>
      </c>
      <c r="I146" s="5" t="s">
        <v>17</v>
      </c>
      <c r="J146" s="9" t="n">
        <f aca="false">G146*H146</f>
        <v>394</v>
      </c>
    </row>
    <row r="147" customFormat="false" ht="15" hidden="false" customHeight="true" outlineLevel="0" collapsed="false">
      <c r="A147" s="5" t="s">
        <v>245</v>
      </c>
      <c r="B147" s="6" t="n">
        <v>45819</v>
      </c>
      <c r="C147" s="5" t="s">
        <v>96</v>
      </c>
      <c r="D147" s="7" t="s">
        <v>97</v>
      </c>
      <c r="E147" s="7" t="s">
        <v>161</v>
      </c>
      <c r="F147" s="7" t="s">
        <v>16</v>
      </c>
      <c r="G147" s="5" t="n">
        <v>5</v>
      </c>
      <c r="H147" s="8" t="n">
        <v>20.78</v>
      </c>
      <c r="I147" s="5" t="s">
        <v>41</v>
      </c>
      <c r="J147" s="9" t="n">
        <f aca="false">G147*H147</f>
        <v>103.9</v>
      </c>
    </row>
    <row r="148" customFormat="false" ht="15" hidden="false" customHeight="true" outlineLevel="0" collapsed="false">
      <c r="A148" s="5" t="s">
        <v>246</v>
      </c>
      <c r="B148" s="6" t="n">
        <v>45822</v>
      </c>
      <c r="C148" s="5" t="s">
        <v>73</v>
      </c>
      <c r="D148" s="7" t="s">
        <v>74</v>
      </c>
      <c r="E148" s="7" t="s">
        <v>51</v>
      </c>
      <c r="F148" s="7" t="s">
        <v>52</v>
      </c>
      <c r="G148" s="5" t="n">
        <v>3</v>
      </c>
      <c r="H148" s="8" t="n">
        <v>9.1</v>
      </c>
      <c r="I148" s="5" t="s">
        <v>22</v>
      </c>
      <c r="J148" s="9" t="n">
        <f aca="false">G148*H148</f>
        <v>27.3</v>
      </c>
    </row>
    <row r="149" customFormat="false" ht="15" hidden="false" customHeight="true" outlineLevel="0" collapsed="false">
      <c r="A149" s="5" t="s">
        <v>247</v>
      </c>
      <c r="B149" s="6" t="n">
        <v>45827</v>
      </c>
      <c r="C149" s="5" t="s">
        <v>101</v>
      </c>
      <c r="D149" s="7" t="s">
        <v>102</v>
      </c>
      <c r="E149" s="7" t="s">
        <v>139</v>
      </c>
      <c r="F149" s="7" t="s">
        <v>46</v>
      </c>
      <c r="G149" s="5" t="n">
        <v>1</v>
      </c>
      <c r="H149" s="8" t="n">
        <v>49.71</v>
      </c>
      <c r="I149" s="5" t="s">
        <v>28</v>
      </c>
      <c r="J149" s="9" t="n">
        <f aca="false">G149*H149</f>
        <v>49.71</v>
      </c>
    </row>
    <row r="150" customFormat="false" ht="15" hidden="false" customHeight="true" outlineLevel="0" collapsed="false">
      <c r="A150" s="5" t="s">
        <v>248</v>
      </c>
      <c r="B150" s="6" t="n">
        <v>45829</v>
      </c>
      <c r="C150" s="5" t="s">
        <v>215</v>
      </c>
      <c r="D150" s="7" t="s">
        <v>216</v>
      </c>
      <c r="E150" s="7" t="s">
        <v>120</v>
      </c>
      <c r="F150" s="7" t="s">
        <v>52</v>
      </c>
      <c r="G150" s="5" t="n">
        <v>5</v>
      </c>
      <c r="H150" s="8" t="n">
        <v>6.24</v>
      </c>
      <c r="I150" s="5" t="s">
        <v>22</v>
      </c>
      <c r="J150" s="9" t="n">
        <f aca="false">G150*H150</f>
        <v>31.2</v>
      </c>
    </row>
    <row r="151" customFormat="false" ht="15" hidden="false" customHeight="true" outlineLevel="0" collapsed="false">
      <c r="A151" s="5" t="s">
        <v>249</v>
      </c>
      <c r="B151" s="6" t="n">
        <v>45831</v>
      </c>
      <c r="C151" s="5" t="s">
        <v>43</v>
      </c>
      <c r="D151" s="7" t="s">
        <v>44</v>
      </c>
      <c r="E151" s="7" t="s">
        <v>150</v>
      </c>
      <c r="F151" s="7" t="s">
        <v>61</v>
      </c>
      <c r="G151" s="5" t="n">
        <v>5</v>
      </c>
      <c r="H151" s="8" t="n">
        <v>76.96</v>
      </c>
      <c r="I151" s="5" t="s">
        <v>41</v>
      </c>
      <c r="J151" s="9" t="n">
        <f aca="false">G151*H151</f>
        <v>384.8</v>
      </c>
    </row>
    <row r="152" customFormat="false" ht="15" hidden="false" customHeight="true" outlineLevel="0" collapsed="false">
      <c r="A152" s="5" t="s">
        <v>250</v>
      </c>
      <c r="B152" s="6" t="n">
        <v>45831</v>
      </c>
      <c r="C152" s="5" t="s">
        <v>84</v>
      </c>
      <c r="D152" s="7" t="s">
        <v>85</v>
      </c>
      <c r="E152" s="7" t="s">
        <v>51</v>
      </c>
      <c r="F152" s="7" t="s">
        <v>52</v>
      </c>
      <c r="G152" s="5" t="n">
        <v>4</v>
      </c>
      <c r="H152" s="8" t="n">
        <v>8.57</v>
      </c>
      <c r="I152" s="5" t="s">
        <v>28</v>
      </c>
      <c r="J152" s="9" t="n">
        <f aca="false">G152*H152</f>
        <v>34.28</v>
      </c>
    </row>
    <row r="153" customFormat="false" ht="15" hidden="false" customHeight="true" outlineLevel="0" collapsed="false">
      <c r="A153" s="5" t="s">
        <v>251</v>
      </c>
      <c r="B153" s="6" t="n">
        <v>45835</v>
      </c>
      <c r="C153" s="5" t="s">
        <v>114</v>
      </c>
      <c r="D153" s="7" t="s">
        <v>115</v>
      </c>
      <c r="E153" s="7" t="s">
        <v>125</v>
      </c>
      <c r="F153" s="7" t="s">
        <v>16</v>
      </c>
      <c r="G153" s="5" t="n">
        <v>1</v>
      </c>
      <c r="H153" s="8" t="n">
        <v>68.36</v>
      </c>
      <c r="I153" s="5" t="s">
        <v>35</v>
      </c>
      <c r="J153" s="9" t="n">
        <f aca="false">G153*H153</f>
        <v>68.36</v>
      </c>
    </row>
    <row r="154" customFormat="false" ht="15" hidden="false" customHeight="true" outlineLevel="0" collapsed="false">
      <c r="A154" s="5" t="s">
        <v>252</v>
      </c>
      <c r="B154" s="6" t="n">
        <v>45836</v>
      </c>
      <c r="C154" s="5" t="s">
        <v>93</v>
      </c>
      <c r="D154" s="7" t="s">
        <v>94</v>
      </c>
      <c r="E154" s="7" t="s">
        <v>139</v>
      </c>
      <c r="F154" s="7" t="s">
        <v>46</v>
      </c>
      <c r="G154" s="5" t="n">
        <v>5</v>
      </c>
      <c r="H154" s="8" t="n">
        <v>47.74</v>
      </c>
      <c r="I154" s="5" t="s">
        <v>28</v>
      </c>
      <c r="J154" s="9" t="n">
        <f aca="false">G154*H154</f>
        <v>238.7</v>
      </c>
    </row>
    <row r="155" customFormat="false" ht="15" hidden="false" customHeight="true" outlineLevel="0" collapsed="false">
      <c r="A155" s="5" t="s">
        <v>253</v>
      </c>
      <c r="B155" s="6" t="n">
        <v>45841</v>
      </c>
      <c r="C155" s="5" t="s">
        <v>43</v>
      </c>
      <c r="D155" s="7" t="s">
        <v>44</v>
      </c>
      <c r="E155" s="7" t="s">
        <v>125</v>
      </c>
      <c r="F155" s="7" t="s">
        <v>16</v>
      </c>
      <c r="G155" s="5" t="n">
        <v>1</v>
      </c>
      <c r="H155" s="8" t="n">
        <v>68.55</v>
      </c>
      <c r="I155" s="5" t="s">
        <v>28</v>
      </c>
      <c r="J155" s="9" t="n">
        <f aca="false">G155*H155</f>
        <v>68.55</v>
      </c>
    </row>
    <row r="156" customFormat="false" ht="15" hidden="false" customHeight="true" outlineLevel="0" collapsed="false">
      <c r="A156" s="5" t="s">
        <v>254</v>
      </c>
      <c r="B156" s="6" t="n">
        <v>45843</v>
      </c>
      <c r="C156" s="5" t="s">
        <v>101</v>
      </c>
      <c r="D156" s="7" t="s">
        <v>102</v>
      </c>
      <c r="E156" s="7" t="s">
        <v>125</v>
      </c>
      <c r="F156" s="7" t="s">
        <v>16</v>
      </c>
      <c r="G156" s="5" t="n">
        <v>3</v>
      </c>
      <c r="H156" s="8" t="n">
        <v>72.37</v>
      </c>
      <c r="I156" s="5" t="s">
        <v>35</v>
      </c>
      <c r="J156" s="9" t="n">
        <f aca="false">G156*H156</f>
        <v>217.11</v>
      </c>
    </row>
    <row r="157" customFormat="false" ht="15" hidden="false" customHeight="true" outlineLevel="0" collapsed="false">
      <c r="A157" s="5" t="s">
        <v>255</v>
      </c>
      <c r="B157" s="6" t="n">
        <v>45847</v>
      </c>
      <c r="C157" s="5" t="s">
        <v>49</v>
      </c>
      <c r="D157" s="7" t="s">
        <v>50</v>
      </c>
      <c r="E157" s="7" t="s">
        <v>51</v>
      </c>
      <c r="F157" s="7" t="s">
        <v>52</v>
      </c>
      <c r="G157" s="5" t="n">
        <v>1</v>
      </c>
      <c r="H157" s="8" t="n">
        <v>9.37</v>
      </c>
      <c r="I157" s="5" t="s">
        <v>35</v>
      </c>
      <c r="J157" s="9" t="n">
        <f aca="false">G157*H157</f>
        <v>9.37</v>
      </c>
    </row>
    <row r="158" customFormat="false" ht="15" hidden="false" customHeight="true" outlineLevel="0" collapsed="false">
      <c r="A158" s="5" t="s">
        <v>256</v>
      </c>
      <c r="B158" s="6" t="n">
        <v>45848</v>
      </c>
      <c r="C158" s="5" t="s">
        <v>13</v>
      </c>
      <c r="D158" s="7" t="s">
        <v>14</v>
      </c>
      <c r="E158" s="7" t="s">
        <v>67</v>
      </c>
      <c r="F158" s="7" t="s">
        <v>52</v>
      </c>
      <c r="G158" s="5" t="n">
        <v>3</v>
      </c>
      <c r="H158" s="8" t="n">
        <v>13.25</v>
      </c>
      <c r="I158" s="5" t="s">
        <v>41</v>
      </c>
      <c r="J158" s="9" t="n">
        <f aca="false">G158*H158</f>
        <v>39.75</v>
      </c>
    </row>
    <row r="159" customFormat="false" ht="15" hidden="false" customHeight="true" outlineLevel="0" collapsed="false">
      <c r="A159" s="5" t="s">
        <v>257</v>
      </c>
      <c r="B159" s="6" t="n">
        <v>45850</v>
      </c>
      <c r="C159" s="5" t="s">
        <v>117</v>
      </c>
      <c r="D159" s="7" t="s">
        <v>118</v>
      </c>
      <c r="E159" s="7" t="s">
        <v>45</v>
      </c>
      <c r="F159" s="7" t="s">
        <v>46</v>
      </c>
      <c r="G159" s="5" t="n">
        <v>2</v>
      </c>
      <c r="H159" s="8" t="n">
        <v>91.5</v>
      </c>
      <c r="I159" s="5" t="s">
        <v>41</v>
      </c>
      <c r="J159" s="9" t="n">
        <f aca="false">G159*H159</f>
        <v>183</v>
      </c>
    </row>
    <row r="160" customFormat="false" ht="15" hidden="false" customHeight="true" outlineLevel="0" collapsed="false">
      <c r="A160" s="5" t="s">
        <v>258</v>
      </c>
      <c r="B160" s="6" t="n">
        <v>45851</v>
      </c>
      <c r="C160" s="5" t="s">
        <v>84</v>
      </c>
      <c r="D160" s="7" t="s">
        <v>85</v>
      </c>
      <c r="E160" s="7" t="s">
        <v>51</v>
      </c>
      <c r="F160" s="7" t="s">
        <v>52</v>
      </c>
      <c r="G160" s="5" t="n">
        <v>3</v>
      </c>
      <c r="H160" s="8" t="n">
        <v>8.55</v>
      </c>
      <c r="I160" s="5" t="s">
        <v>28</v>
      </c>
      <c r="J160" s="9" t="n">
        <f aca="false">G160*H160</f>
        <v>25.65</v>
      </c>
    </row>
    <row r="161" customFormat="false" ht="15" hidden="false" customHeight="true" outlineLevel="0" collapsed="false">
      <c r="A161" s="5" t="s">
        <v>259</v>
      </c>
      <c r="B161" s="6" t="n">
        <v>45853</v>
      </c>
      <c r="C161" s="5" t="s">
        <v>73</v>
      </c>
      <c r="D161" s="7" t="s">
        <v>74</v>
      </c>
      <c r="E161" s="7" t="s">
        <v>67</v>
      </c>
      <c r="F161" s="7" t="s">
        <v>52</v>
      </c>
      <c r="G161" s="5" t="n">
        <v>3</v>
      </c>
      <c r="H161" s="8" t="n">
        <v>13.51</v>
      </c>
      <c r="I161" s="5" t="s">
        <v>28</v>
      </c>
      <c r="J161" s="9" t="n">
        <f aca="false">G161*H161</f>
        <v>40.53</v>
      </c>
    </row>
    <row r="162" customFormat="false" ht="15" hidden="false" customHeight="true" outlineLevel="0" collapsed="false">
      <c r="A162" s="5" t="s">
        <v>260</v>
      </c>
      <c r="B162" s="6" t="n">
        <v>45858</v>
      </c>
      <c r="C162" s="5" t="s">
        <v>49</v>
      </c>
      <c r="D162" s="7" t="s">
        <v>50</v>
      </c>
      <c r="E162" s="7" t="s">
        <v>161</v>
      </c>
      <c r="F162" s="7" t="s">
        <v>16</v>
      </c>
      <c r="G162" s="5" t="n">
        <v>1</v>
      </c>
      <c r="H162" s="8" t="n">
        <v>19.49</v>
      </c>
      <c r="I162" s="5" t="s">
        <v>22</v>
      </c>
      <c r="J162" s="9" t="n">
        <f aca="false">G162*H162</f>
        <v>19.49</v>
      </c>
    </row>
    <row r="163" customFormat="false" ht="15" hidden="false" customHeight="true" outlineLevel="0" collapsed="false">
      <c r="A163" s="5" t="s">
        <v>261</v>
      </c>
      <c r="B163" s="6" t="n">
        <v>45858</v>
      </c>
      <c r="C163" s="5" t="s">
        <v>73</v>
      </c>
      <c r="D163" s="7" t="s">
        <v>74</v>
      </c>
      <c r="E163" s="7" t="s">
        <v>26</v>
      </c>
      <c r="F163" s="7" t="s">
        <v>27</v>
      </c>
      <c r="G163" s="5" t="n">
        <v>5</v>
      </c>
      <c r="H163" s="8" t="n">
        <v>40.66</v>
      </c>
      <c r="I163" s="5" t="s">
        <v>22</v>
      </c>
      <c r="J163" s="9" t="n">
        <f aca="false">G163*H163</f>
        <v>203.3</v>
      </c>
    </row>
    <row r="164" customFormat="false" ht="15" hidden="false" customHeight="true" outlineLevel="0" collapsed="false">
      <c r="A164" s="5" t="s">
        <v>262</v>
      </c>
      <c r="B164" s="6" t="n">
        <v>45859</v>
      </c>
      <c r="C164" s="5" t="s">
        <v>24</v>
      </c>
      <c r="D164" s="7" t="s">
        <v>25</v>
      </c>
      <c r="E164" s="7" t="s">
        <v>86</v>
      </c>
      <c r="F164" s="7" t="s">
        <v>27</v>
      </c>
      <c r="G164" s="5" t="n">
        <v>3</v>
      </c>
      <c r="H164" s="8" t="n">
        <v>386.7</v>
      </c>
      <c r="I164" s="5" t="s">
        <v>17</v>
      </c>
      <c r="J164" s="9" t="n">
        <f aca="false">G164*H164</f>
        <v>1160.1</v>
      </c>
    </row>
    <row r="165" customFormat="false" ht="15" hidden="false" customHeight="true" outlineLevel="0" collapsed="false">
      <c r="A165" s="5" t="s">
        <v>263</v>
      </c>
      <c r="B165" s="6" t="n">
        <v>45863</v>
      </c>
      <c r="C165" s="5" t="s">
        <v>24</v>
      </c>
      <c r="D165" s="7" t="s">
        <v>25</v>
      </c>
      <c r="E165" s="7" t="s">
        <v>51</v>
      </c>
      <c r="F165" s="7" t="s">
        <v>52</v>
      </c>
      <c r="G165" s="5" t="n">
        <v>4</v>
      </c>
      <c r="H165" s="8" t="n">
        <v>8.85</v>
      </c>
      <c r="I165" s="5" t="s">
        <v>41</v>
      </c>
      <c r="J165" s="9" t="n">
        <f aca="false">G165*H165</f>
        <v>35.4</v>
      </c>
    </row>
    <row r="166" customFormat="false" ht="15" hidden="false" customHeight="true" outlineLevel="0" collapsed="false">
      <c r="A166" s="5" t="s">
        <v>264</v>
      </c>
      <c r="B166" s="6" t="n">
        <v>45864</v>
      </c>
      <c r="C166" s="5" t="s">
        <v>30</v>
      </c>
      <c r="D166" s="7" t="s">
        <v>31</v>
      </c>
      <c r="E166" s="7" t="s">
        <v>21</v>
      </c>
      <c r="F166" s="7" t="s">
        <v>16</v>
      </c>
      <c r="G166" s="5" t="n">
        <v>3</v>
      </c>
      <c r="H166" s="8" t="n">
        <v>34.05</v>
      </c>
      <c r="I166" s="5" t="s">
        <v>28</v>
      </c>
      <c r="J166" s="9" t="n">
        <f aca="false">G166*H166</f>
        <v>102.15</v>
      </c>
    </row>
    <row r="167" customFormat="false" ht="15" hidden="false" customHeight="true" outlineLevel="0" collapsed="false">
      <c r="A167" s="5" t="s">
        <v>265</v>
      </c>
      <c r="B167" s="6" t="n">
        <v>45864</v>
      </c>
      <c r="C167" s="5" t="s">
        <v>90</v>
      </c>
      <c r="D167" s="7" t="s">
        <v>91</v>
      </c>
      <c r="E167" s="7" t="s">
        <v>139</v>
      </c>
      <c r="F167" s="7" t="s">
        <v>46</v>
      </c>
      <c r="G167" s="5" t="n">
        <v>3</v>
      </c>
      <c r="H167" s="8" t="n">
        <v>49.16</v>
      </c>
      <c r="I167" s="5" t="s">
        <v>41</v>
      </c>
      <c r="J167" s="9" t="n">
        <f aca="false">G167*H167</f>
        <v>147.48</v>
      </c>
    </row>
    <row r="168" customFormat="false" ht="15" hidden="false" customHeight="true" outlineLevel="0" collapsed="false">
      <c r="A168" s="5" t="s">
        <v>266</v>
      </c>
      <c r="B168" s="6" t="n">
        <v>45866</v>
      </c>
      <c r="C168" s="5" t="s">
        <v>30</v>
      </c>
      <c r="D168" s="7" t="s">
        <v>31</v>
      </c>
      <c r="E168" s="7" t="s">
        <v>125</v>
      </c>
      <c r="F168" s="7" t="s">
        <v>16</v>
      </c>
      <c r="G168" s="5" t="n">
        <v>2</v>
      </c>
      <c r="H168" s="8" t="n">
        <v>70.35</v>
      </c>
      <c r="I168" s="5" t="s">
        <v>41</v>
      </c>
      <c r="J168" s="9" t="n">
        <f aca="false">G168*H168</f>
        <v>140.7</v>
      </c>
    </row>
    <row r="169" customFormat="false" ht="15" hidden="false" customHeight="true" outlineLevel="0" collapsed="false">
      <c r="A169" s="5" t="s">
        <v>267</v>
      </c>
      <c r="B169" s="6" t="n">
        <v>45867</v>
      </c>
      <c r="C169" s="5" t="s">
        <v>96</v>
      </c>
      <c r="D169" s="7" t="s">
        <v>97</v>
      </c>
      <c r="E169" s="7" t="s">
        <v>39</v>
      </c>
      <c r="F169" s="7" t="s">
        <v>40</v>
      </c>
      <c r="G169" s="5" t="n">
        <v>2</v>
      </c>
      <c r="H169" s="8" t="n">
        <v>56.68</v>
      </c>
      <c r="I169" s="5" t="s">
        <v>41</v>
      </c>
      <c r="J169" s="9" t="n">
        <f aca="false">G169*H169</f>
        <v>113.36</v>
      </c>
    </row>
    <row r="170" customFormat="false" ht="15" hidden="false" customHeight="true" outlineLevel="0" collapsed="false">
      <c r="A170" s="5" t="s">
        <v>268</v>
      </c>
      <c r="B170" s="6" t="n">
        <v>45867</v>
      </c>
      <c r="C170" s="5" t="s">
        <v>110</v>
      </c>
      <c r="D170" s="7" t="s">
        <v>111</v>
      </c>
      <c r="E170" s="7" t="s">
        <v>161</v>
      </c>
      <c r="F170" s="7" t="s">
        <v>16</v>
      </c>
      <c r="G170" s="5" t="n">
        <v>2</v>
      </c>
      <c r="H170" s="8" t="n">
        <v>19.56</v>
      </c>
      <c r="I170" s="5" t="s">
        <v>28</v>
      </c>
      <c r="J170" s="9" t="n">
        <f aca="false">G170*H170</f>
        <v>39.12</v>
      </c>
    </row>
    <row r="171" customFormat="false" ht="15" hidden="false" customHeight="true" outlineLevel="0" collapsed="false">
      <c r="A171" s="5" t="s">
        <v>269</v>
      </c>
      <c r="B171" s="6" t="n">
        <v>45872</v>
      </c>
      <c r="C171" s="5" t="s">
        <v>78</v>
      </c>
      <c r="D171" s="7" t="s">
        <v>79</v>
      </c>
      <c r="E171" s="7" t="s">
        <v>67</v>
      </c>
      <c r="F171" s="7" t="s">
        <v>52</v>
      </c>
      <c r="G171" s="5" t="n">
        <v>1</v>
      </c>
      <c r="H171" s="8" t="n">
        <v>12.86</v>
      </c>
      <c r="I171" s="5" t="s">
        <v>28</v>
      </c>
      <c r="J171" s="9" t="n">
        <f aca="false">G171*H171</f>
        <v>12.86</v>
      </c>
    </row>
    <row r="172" customFormat="false" ht="15" hidden="false" customHeight="true" outlineLevel="0" collapsed="false">
      <c r="A172" s="5" t="s">
        <v>270</v>
      </c>
      <c r="B172" s="6" t="n">
        <v>45878</v>
      </c>
      <c r="C172" s="5" t="s">
        <v>43</v>
      </c>
      <c r="D172" s="7" t="s">
        <v>44</v>
      </c>
      <c r="E172" s="7" t="s">
        <v>67</v>
      </c>
      <c r="F172" s="7" t="s">
        <v>52</v>
      </c>
      <c r="G172" s="5" t="n">
        <v>4</v>
      </c>
      <c r="H172" s="8" t="n">
        <v>13.41</v>
      </c>
      <c r="I172" s="5" t="s">
        <v>41</v>
      </c>
      <c r="J172" s="9" t="n">
        <f aca="false">G172*H172</f>
        <v>53.64</v>
      </c>
    </row>
    <row r="173" customFormat="false" ht="15" hidden="false" customHeight="true" outlineLevel="0" collapsed="false">
      <c r="A173" s="5" t="s">
        <v>271</v>
      </c>
      <c r="B173" s="6" t="n">
        <v>45879</v>
      </c>
      <c r="C173" s="5" t="s">
        <v>33</v>
      </c>
      <c r="D173" s="7" t="s">
        <v>34</v>
      </c>
      <c r="E173" s="7" t="s">
        <v>161</v>
      </c>
      <c r="F173" s="7" t="s">
        <v>16</v>
      </c>
      <c r="G173" s="5" t="n">
        <v>2</v>
      </c>
      <c r="H173" s="8" t="n">
        <v>19.87</v>
      </c>
      <c r="I173" s="5" t="s">
        <v>17</v>
      </c>
      <c r="J173" s="9" t="n">
        <f aca="false">G173*H173</f>
        <v>39.74</v>
      </c>
    </row>
    <row r="174" customFormat="false" ht="15" hidden="false" customHeight="true" outlineLevel="0" collapsed="false">
      <c r="A174" s="5" t="s">
        <v>272</v>
      </c>
      <c r="B174" s="6" t="n">
        <v>45881</v>
      </c>
      <c r="C174" s="5" t="s">
        <v>101</v>
      </c>
      <c r="D174" s="7" t="s">
        <v>102</v>
      </c>
      <c r="E174" s="7" t="s">
        <v>15</v>
      </c>
      <c r="F174" s="7" t="s">
        <v>16</v>
      </c>
      <c r="G174" s="5" t="n">
        <v>2</v>
      </c>
      <c r="H174" s="8" t="n">
        <v>24.48</v>
      </c>
      <c r="I174" s="5" t="s">
        <v>35</v>
      </c>
      <c r="J174" s="9" t="n">
        <f aca="false">G174*H174</f>
        <v>48.96</v>
      </c>
    </row>
    <row r="175" customFormat="false" ht="15" hidden="false" customHeight="true" outlineLevel="0" collapsed="false">
      <c r="A175" s="5" t="s">
        <v>273</v>
      </c>
      <c r="B175" s="6" t="n">
        <v>45883</v>
      </c>
      <c r="C175" s="5" t="s">
        <v>101</v>
      </c>
      <c r="D175" s="7" t="s">
        <v>102</v>
      </c>
      <c r="E175" s="7" t="s">
        <v>81</v>
      </c>
      <c r="F175" s="7" t="s">
        <v>61</v>
      </c>
      <c r="G175" s="5" t="n">
        <v>5</v>
      </c>
      <c r="H175" s="8" t="n">
        <v>101.9</v>
      </c>
      <c r="I175" s="5" t="s">
        <v>35</v>
      </c>
      <c r="J175" s="9" t="n">
        <f aca="false">G175*H175</f>
        <v>509.5</v>
      </c>
    </row>
    <row r="176" customFormat="false" ht="15" hidden="false" customHeight="true" outlineLevel="0" collapsed="false">
      <c r="A176" s="5" t="s">
        <v>274</v>
      </c>
      <c r="B176" s="6" t="n">
        <v>45884</v>
      </c>
      <c r="C176" s="5" t="s">
        <v>58</v>
      </c>
      <c r="D176" s="7" t="s">
        <v>59</v>
      </c>
      <c r="E176" s="7" t="s">
        <v>51</v>
      </c>
      <c r="F176" s="7" t="s">
        <v>52</v>
      </c>
      <c r="G176" s="5" t="n">
        <v>2</v>
      </c>
      <c r="H176" s="8" t="n">
        <v>9.02</v>
      </c>
      <c r="I176" s="5" t="s">
        <v>41</v>
      </c>
      <c r="J176" s="9" t="n">
        <f aca="false">G176*H176</f>
        <v>18.04</v>
      </c>
    </row>
    <row r="177" customFormat="false" ht="15" hidden="false" customHeight="true" outlineLevel="0" collapsed="false">
      <c r="A177" s="5" t="s">
        <v>275</v>
      </c>
      <c r="B177" s="6" t="n">
        <v>45889</v>
      </c>
      <c r="C177" s="5" t="s">
        <v>166</v>
      </c>
      <c r="D177" s="7" t="s">
        <v>167</v>
      </c>
      <c r="E177" s="7" t="s">
        <v>107</v>
      </c>
      <c r="F177" s="7" t="s">
        <v>46</v>
      </c>
      <c r="G177" s="5" t="n">
        <v>3</v>
      </c>
      <c r="H177" s="8" t="n">
        <v>1297.38</v>
      </c>
      <c r="I177" s="5" t="s">
        <v>35</v>
      </c>
      <c r="J177" s="9" t="n">
        <f aca="false">G177*H177</f>
        <v>3892.14</v>
      </c>
    </row>
    <row r="178" customFormat="false" ht="15" hidden="false" customHeight="true" outlineLevel="0" collapsed="false">
      <c r="A178" s="5" t="s">
        <v>276</v>
      </c>
      <c r="B178" s="6" t="n">
        <v>45893</v>
      </c>
      <c r="C178" s="5" t="s">
        <v>191</v>
      </c>
      <c r="D178" s="7" t="s">
        <v>192</v>
      </c>
      <c r="E178" s="7" t="s">
        <v>56</v>
      </c>
      <c r="F178" s="7" t="s">
        <v>46</v>
      </c>
      <c r="G178" s="5" t="n">
        <v>3</v>
      </c>
      <c r="H178" s="8" t="n">
        <v>357.18</v>
      </c>
      <c r="I178" s="5" t="s">
        <v>22</v>
      </c>
      <c r="J178" s="9" t="n">
        <f aca="false">G178*H178</f>
        <v>1071.54</v>
      </c>
    </row>
    <row r="179" customFormat="false" ht="15" hidden="false" customHeight="true" outlineLevel="0" collapsed="false">
      <c r="A179" s="5" t="s">
        <v>277</v>
      </c>
      <c r="B179" s="6" t="n">
        <v>45897</v>
      </c>
      <c r="C179" s="5" t="s">
        <v>78</v>
      </c>
      <c r="D179" s="7" t="s">
        <v>79</v>
      </c>
      <c r="E179" s="7" t="s">
        <v>56</v>
      </c>
      <c r="F179" s="7" t="s">
        <v>46</v>
      </c>
      <c r="G179" s="5" t="n">
        <v>5</v>
      </c>
      <c r="H179" s="8" t="n">
        <v>362.93</v>
      </c>
      <c r="I179" s="5" t="s">
        <v>17</v>
      </c>
      <c r="J179" s="9" t="n">
        <f aca="false">G179*H179</f>
        <v>1814.65</v>
      </c>
    </row>
    <row r="180" customFormat="false" ht="15" hidden="false" customHeight="true" outlineLevel="0" collapsed="false">
      <c r="A180" s="5" t="s">
        <v>278</v>
      </c>
      <c r="B180" s="6" t="n">
        <v>45901</v>
      </c>
      <c r="C180" s="5" t="s">
        <v>215</v>
      </c>
      <c r="D180" s="7" t="s">
        <v>216</v>
      </c>
      <c r="E180" s="7" t="s">
        <v>139</v>
      </c>
      <c r="F180" s="7" t="s">
        <v>46</v>
      </c>
      <c r="G180" s="5" t="n">
        <v>3</v>
      </c>
      <c r="H180" s="8" t="n">
        <v>51.74</v>
      </c>
      <c r="I180" s="5" t="s">
        <v>28</v>
      </c>
      <c r="J180" s="9" t="n">
        <f aca="false">G180*H180</f>
        <v>155.22</v>
      </c>
    </row>
    <row r="181" customFormat="false" ht="15" hidden="false" customHeight="true" outlineLevel="0" collapsed="false">
      <c r="A181" s="5" t="s">
        <v>279</v>
      </c>
      <c r="B181" s="6" t="n">
        <v>45903</v>
      </c>
      <c r="C181" s="5" t="s">
        <v>13</v>
      </c>
      <c r="D181" s="7" t="s">
        <v>14</v>
      </c>
      <c r="E181" s="7" t="s">
        <v>86</v>
      </c>
      <c r="F181" s="7" t="s">
        <v>27</v>
      </c>
      <c r="G181" s="5" t="n">
        <v>2</v>
      </c>
      <c r="H181" s="8" t="n">
        <v>391.04</v>
      </c>
      <c r="I181" s="5" t="s">
        <v>28</v>
      </c>
      <c r="J181" s="9" t="n">
        <f aca="false">G181*H181</f>
        <v>782.08</v>
      </c>
    </row>
    <row r="182" customFormat="false" ht="15" hidden="false" customHeight="true" outlineLevel="0" collapsed="false">
      <c r="A182" s="5" t="s">
        <v>280</v>
      </c>
      <c r="B182" s="6" t="n">
        <v>45923</v>
      </c>
      <c r="C182" s="5" t="s">
        <v>19</v>
      </c>
      <c r="D182" s="7" t="s">
        <v>20</v>
      </c>
      <c r="E182" s="7" t="s">
        <v>67</v>
      </c>
      <c r="F182" s="7" t="s">
        <v>52</v>
      </c>
      <c r="G182" s="5" t="n">
        <v>5</v>
      </c>
      <c r="H182" s="8" t="n">
        <v>13.59</v>
      </c>
      <c r="I182" s="5" t="s">
        <v>41</v>
      </c>
      <c r="J182" s="9" t="n">
        <f aca="false">G182*H182</f>
        <v>67.95</v>
      </c>
    </row>
    <row r="183" customFormat="false" ht="15" hidden="false" customHeight="true" outlineLevel="0" collapsed="false">
      <c r="A183" s="5" t="s">
        <v>281</v>
      </c>
      <c r="B183" s="6" t="n">
        <v>45926</v>
      </c>
      <c r="C183" s="5" t="s">
        <v>215</v>
      </c>
      <c r="D183" s="7" t="s">
        <v>216</v>
      </c>
      <c r="E183" s="7" t="s">
        <v>75</v>
      </c>
      <c r="F183" s="7" t="s">
        <v>27</v>
      </c>
      <c r="G183" s="5" t="n">
        <v>1</v>
      </c>
      <c r="H183" s="8" t="n">
        <v>245.59</v>
      </c>
      <c r="I183" s="5" t="s">
        <v>22</v>
      </c>
      <c r="J183" s="9" t="n">
        <f aca="false">G183*H183</f>
        <v>245.59</v>
      </c>
    </row>
    <row r="184" customFormat="false" ht="15" hidden="false" customHeight="true" outlineLevel="0" collapsed="false">
      <c r="A184" s="5" t="s">
        <v>282</v>
      </c>
      <c r="B184" s="6" t="n">
        <v>45926</v>
      </c>
      <c r="C184" s="5" t="s">
        <v>90</v>
      </c>
      <c r="D184" s="7" t="s">
        <v>91</v>
      </c>
      <c r="E184" s="7" t="s">
        <v>161</v>
      </c>
      <c r="F184" s="7" t="s">
        <v>16</v>
      </c>
      <c r="G184" s="5" t="n">
        <v>2</v>
      </c>
      <c r="H184" s="8" t="n">
        <v>20.91</v>
      </c>
      <c r="I184" s="5" t="s">
        <v>28</v>
      </c>
      <c r="J184" s="9" t="n">
        <f aca="false">G184*H184</f>
        <v>41.82</v>
      </c>
    </row>
    <row r="186" customFormat="false" ht="15" hidden="false" customHeight="true" outlineLevel="0" collapsed="false">
      <c r="A186" s="10" t="s">
        <v>283</v>
      </c>
      <c r="B186" s="11" t="n">
        <f aca="true">NOW()</f>
        <v>46309.4115602308</v>
      </c>
    </row>
  </sheetData>
  <mergeCells count="2">
    <mergeCell ref="A1:J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8"/>
    <col collapsed="false" customWidth="true" hidden="false" outlineLevel="0" max="2" min="2" style="1" width="22"/>
    <col collapsed="false" customWidth="true" hidden="false" outlineLevel="0" max="3" min="3" style="1" width="18"/>
    <col collapsed="false" customWidth="true" hidden="false" outlineLevel="0" max="4" min="4" style="1" width="22"/>
    <col collapsed="false" customWidth="true" hidden="false" outlineLevel="0" max="5" min="5" style="1" width="16"/>
    <col collapsed="false" customWidth="true" hidden="false" outlineLevel="0" max="6" min="6" style="1" width="12"/>
  </cols>
  <sheetData>
    <row r="1" customFormat="false" ht="19.5" hidden="false" customHeight="true" outlineLevel="0" collapsed="false">
      <c r="A1" s="12" t="s">
        <v>284</v>
      </c>
      <c r="B1" s="12"/>
      <c r="C1" s="12"/>
      <c r="D1" s="12"/>
      <c r="E1" s="12"/>
      <c r="F1" s="12"/>
      <c r="G1" s="12"/>
      <c r="H1" s="12"/>
      <c r="I1" s="12"/>
      <c r="J1" s="12"/>
      <c r="K1" s="12"/>
      <c r="L1" s="12"/>
    </row>
    <row r="2" customFormat="false" ht="15" hidden="false" customHeight="true" outlineLevel="0" collapsed="false">
      <c r="A2" s="3" t="s">
        <v>285</v>
      </c>
      <c r="B2" s="3"/>
      <c r="C2" s="3"/>
      <c r="D2" s="3"/>
      <c r="E2" s="3"/>
      <c r="F2" s="3"/>
      <c r="G2" s="3"/>
      <c r="H2" s="3"/>
      <c r="I2" s="3"/>
      <c r="J2" s="3"/>
      <c r="K2" s="3"/>
      <c r="L2" s="3"/>
    </row>
    <row r="4" customFormat="false" ht="17.25" hidden="false" customHeight="true" outlineLevel="0" collapsed="false">
      <c r="A4" s="13" t="s">
        <v>286</v>
      </c>
      <c r="B4" s="13"/>
      <c r="C4" s="13"/>
      <c r="D4" s="13"/>
    </row>
    <row r="5" customFormat="false" ht="15" hidden="false" customHeight="true" outlineLevel="0" collapsed="false">
      <c r="A5" s="1" t="s">
        <v>287</v>
      </c>
      <c r="B5" s="14" t="n">
        <f aca="true">TODAY()</f>
        <v>46309</v>
      </c>
      <c r="C5" s="1" t="s">
        <v>288</v>
      </c>
    </row>
    <row r="6" customFormat="false" ht="15" hidden="false" customHeight="true" outlineLevel="0" collapsed="false">
      <c r="A6" s="1" t="s">
        <v>289</v>
      </c>
      <c r="B6" s="15" t="n">
        <f aca="true">NOW()</f>
        <v>46309.4115602336</v>
      </c>
      <c r="C6" s="1" t="s">
        <v>290</v>
      </c>
    </row>
    <row r="7" customFormat="false" ht="15" hidden="false" customHeight="true" outlineLevel="0" collapsed="false">
      <c r="A7" s="1" t="s">
        <v>291</v>
      </c>
      <c r="B7" s="14" t="n">
        <f aca="true">EOMONTH(TODAY(),0)</f>
        <v>46326</v>
      </c>
      <c r="C7" s="1" t="s">
        <v>292</v>
      </c>
    </row>
    <row r="8" customFormat="false" ht="15" hidden="false" customHeight="true" outlineLevel="0" collapsed="false">
      <c r="A8" s="1" t="s">
        <v>293</v>
      </c>
      <c r="B8" s="14" t="n">
        <f aca="true">EOMONTH(TODAY(),-1)</f>
        <v>46295</v>
      </c>
    </row>
    <row r="9" customFormat="false" ht="15" hidden="false" customHeight="true" outlineLevel="0" collapsed="false">
      <c r="A9" s="1" t="s">
        <v>294</v>
      </c>
      <c r="B9" s="16" t="n">
        <f aca="true">DATEDIF('Raw Data'!B5,TODAY(),"D")</f>
        <v>926</v>
      </c>
      <c r="C9" s="1" t="s">
        <v>295</v>
      </c>
    </row>
    <row r="10" customFormat="false" ht="15" hidden="false" customHeight="true" outlineLevel="0" collapsed="false">
      <c r="A10" s="1" t="s">
        <v>296</v>
      </c>
      <c r="B10" s="16" t="n">
        <f aca="false">DATEDIF('Raw Data'!B5,'Raw Data'!B184,"M")</f>
        <v>17</v>
      </c>
      <c r="C10" s="1" t="s">
        <v>297</v>
      </c>
    </row>
    <row r="12" customFormat="false" ht="15" hidden="false" customHeight="true" outlineLevel="0" collapsed="false">
      <c r="A12" s="17" t="s">
        <v>298</v>
      </c>
      <c r="B12" s="17"/>
      <c r="C12" s="17"/>
      <c r="D12" s="17"/>
    </row>
    <row r="13" customFormat="false" ht="15" hidden="false" customHeight="true" outlineLevel="0" collapsed="false">
      <c r="A13" s="1" t="s">
        <v>299</v>
      </c>
      <c r="B13" s="18" t="n">
        <f aca="true">NOW()</f>
        <v>46309.4115602343</v>
      </c>
      <c r="C13" s="1" t="s">
        <v>300</v>
      </c>
    </row>
    <row r="15" customFormat="false" ht="17.25" hidden="false" customHeight="true" outlineLevel="0" collapsed="false">
      <c r="A15" s="13" t="s">
        <v>301</v>
      </c>
      <c r="B15" s="13"/>
      <c r="C15" s="13"/>
      <c r="D15" s="13"/>
      <c r="E15" s="13"/>
      <c r="F15" s="13"/>
    </row>
    <row r="16" customFormat="false" ht="15" hidden="false" customHeight="true" outlineLevel="0" collapsed="false">
      <c r="A16" s="1" t="s">
        <v>302</v>
      </c>
      <c r="B16" s="19" t="n">
        <f aca="false">SUM('Raw Data'!J5:J184)</f>
        <v>60776.1</v>
      </c>
    </row>
    <row r="17" customFormat="false" ht="15" hidden="false" customHeight="true" outlineLevel="0" collapsed="false">
      <c r="A17" s="1" t="s">
        <v>303</v>
      </c>
      <c r="B17" s="16" t="n">
        <f aca="false">COUNTA('Raw Data'!A5:A184)</f>
        <v>180</v>
      </c>
    </row>
    <row r="18" customFormat="false" ht="15" hidden="false" customHeight="true" outlineLevel="0" collapsed="false">
      <c r="A18" s="1" t="s">
        <v>304</v>
      </c>
      <c r="B18" s="16" t="n">
        <f aca="false">SUMPRODUCT(1/COUNTIF('Raw Data'!C5:C184,'Raw Data'!C5:C184))</f>
        <v>30</v>
      </c>
      <c r="C18" s="1" t="s">
        <v>305</v>
      </c>
    </row>
    <row r="19" customFormat="false" ht="15" hidden="false" customHeight="true" outlineLevel="0" collapsed="false">
      <c r="A19" s="1" t="s">
        <v>306</v>
      </c>
      <c r="B19" s="20" t="n">
        <f aca="false">AVERAGE('Raw Data'!J5:J184)</f>
        <v>337.645</v>
      </c>
    </row>
    <row r="20" customFormat="false" ht="15" hidden="false" customHeight="true" outlineLevel="0" collapsed="false">
      <c r="A20" s="1" t="s">
        <v>307</v>
      </c>
      <c r="B20" s="16" t="n">
        <f aca="false">SUM('Raw Data'!G5:G184)</f>
        <v>542</v>
      </c>
    </row>
    <row r="22" customFormat="false" ht="17.25" hidden="false" customHeight="true" outlineLevel="0" collapsed="false">
      <c r="A22" s="13" t="s">
        <v>308</v>
      </c>
      <c r="B22" s="13"/>
      <c r="C22" s="13"/>
      <c r="D22" s="13"/>
      <c r="E22" s="13"/>
      <c r="F22" s="13"/>
    </row>
    <row r="23" customFormat="false" ht="26.25" hidden="false" customHeight="true" outlineLevel="0" collapsed="false">
      <c r="A23" s="4" t="s">
        <v>4</v>
      </c>
      <c r="B23" s="4" t="s">
        <v>309</v>
      </c>
      <c r="C23" s="4" t="s">
        <v>310</v>
      </c>
      <c r="D23" s="4" t="s">
        <v>311</v>
      </c>
      <c r="E23" s="4" t="s">
        <v>312</v>
      </c>
    </row>
    <row r="24" customFormat="false" ht="15" hidden="false" customHeight="true" outlineLevel="0" collapsed="false">
      <c r="A24" s="21" t="s">
        <v>134</v>
      </c>
      <c r="B24" s="21" t="s">
        <v>135</v>
      </c>
      <c r="C24" s="22" t="n">
        <f aca="false">SUMIF('Raw Data'!$C$5:$C$184,A24,'Raw Data'!$J$5:$J$184)</f>
        <v>655.16</v>
      </c>
      <c r="D24" s="23" t="n">
        <f aca="false">RANK(C24,$C$24:$C$38,0)</f>
        <v>14</v>
      </c>
      <c r="E24" s="24" t="str">
        <f aca="false">IF(D24&lt;=5,"★ HIGH VALUE","")</f>
        <v/>
      </c>
    </row>
    <row r="25" customFormat="false" ht="15" hidden="false" customHeight="true" outlineLevel="0" collapsed="false">
      <c r="A25" s="21" t="s">
        <v>78</v>
      </c>
      <c r="B25" s="21" t="s">
        <v>79</v>
      </c>
      <c r="C25" s="22" t="n">
        <f aca="false">SUMIF('Raw Data'!$C$5:$C$184,A25,'Raw Data'!$J$5:$J$184)</f>
        <v>2126.41</v>
      </c>
      <c r="D25" s="23" t="n">
        <f aca="false">RANK(C25,$C$24:$C$38,0)</f>
        <v>3</v>
      </c>
      <c r="E25" s="24" t="str">
        <f aca="false">IF(D25&lt;=5,"★ HIGH VALUE","")</f>
        <v>★ HIGH VALUE</v>
      </c>
    </row>
    <row r="26" customFormat="false" ht="15" hidden="false" customHeight="true" outlineLevel="0" collapsed="false">
      <c r="A26" s="21" t="s">
        <v>63</v>
      </c>
      <c r="B26" s="21" t="s">
        <v>64</v>
      </c>
      <c r="C26" s="22" t="n">
        <f aca="false">SUMIF('Raw Data'!$C$5:$C$184,A26,'Raw Data'!$J$5:$J$184)</f>
        <v>3371.3</v>
      </c>
      <c r="D26" s="23" t="n">
        <f aca="false">RANK(C26,$C$24:$C$38,0)</f>
        <v>2</v>
      </c>
      <c r="E26" s="24" t="str">
        <f aca="false">IF(D26&lt;=5,"★ HIGH VALUE","")</f>
        <v>★ HIGH VALUE</v>
      </c>
    </row>
    <row r="27" customFormat="false" ht="15" hidden="false" customHeight="true" outlineLevel="0" collapsed="false">
      <c r="A27" s="21" t="s">
        <v>191</v>
      </c>
      <c r="B27" s="21" t="s">
        <v>192</v>
      </c>
      <c r="C27" s="22" t="n">
        <f aca="false">SUMIF('Raw Data'!$C$5:$C$184,A27,'Raw Data'!$J$5:$J$184)</f>
        <v>1919.29</v>
      </c>
      <c r="D27" s="23" t="n">
        <f aca="false">RANK(C27,$C$24:$C$38,0)</f>
        <v>5</v>
      </c>
      <c r="E27" s="24" t="str">
        <f aca="false">IF(D27&lt;=5,"★ HIGH VALUE","")</f>
        <v>★ HIGH VALUE</v>
      </c>
    </row>
    <row r="28" customFormat="false" ht="15" hidden="false" customHeight="true" outlineLevel="0" collapsed="false">
      <c r="A28" s="21" t="s">
        <v>84</v>
      </c>
      <c r="B28" s="21" t="s">
        <v>85</v>
      </c>
      <c r="C28" s="22" t="n">
        <f aca="false">SUMIF('Raw Data'!$C$5:$C$184,A28,'Raw Data'!$J$5:$J$184)</f>
        <v>2028.12</v>
      </c>
      <c r="D28" s="23" t="n">
        <f aca="false">RANK(C28,$C$24:$C$38,0)</f>
        <v>4</v>
      </c>
      <c r="E28" s="24" t="str">
        <f aca="false">IF(D28&lt;=5,"★ HIGH VALUE","")</f>
        <v>★ HIGH VALUE</v>
      </c>
    </row>
    <row r="29" customFormat="false" ht="15" hidden="false" customHeight="true" outlineLevel="0" collapsed="false">
      <c r="A29" s="21" t="s">
        <v>19</v>
      </c>
      <c r="B29" s="21" t="s">
        <v>20</v>
      </c>
      <c r="C29" s="22" t="n">
        <f aca="false">SUMIF('Raw Data'!$C$5:$C$184,A29,'Raw Data'!$J$5:$J$184)</f>
        <v>535.13</v>
      </c>
      <c r="D29" s="23" t="n">
        <f aca="false">RANK(C29,$C$24:$C$38,0)</f>
        <v>15</v>
      </c>
      <c r="E29" s="24" t="str">
        <f aca="false">IF(D29&lt;=5,"★ HIGH VALUE","")</f>
        <v/>
      </c>
    </row>
    <row r="30" customFormat="false" ht="15" hidden="false" customHeight="true" outlineLevel="0" collapsed="false">
      <c r="A30" s="21" t="s">
        <v>110</v>
      </c>
      <c r="B30" s="21" t="s">
        <v>111</v>
      </c>
      <c r="C30" s="22" t="n">
        <f aca="false">SUMIF('Raw Data'!$C$5:$C$184,A30,'Raw Data'!$J$5:$J$184)</f>
        <v>685.78</v>
      </c>
      <c r="D30" s="23" t="n">
        <f aca="false">RANK(C30,$C$24:$C$38,0)</f>
        <v>12</v>
      </c>
      <c r="E30" s="24" t="str">
        <f aca="false">IF(D30&lt;=5,"★ HIGH VALUE","")</f>
        <v/>
      </c>
    </row>
    <row r="31" customFormat="false" ht="15" hidden="false" customHeight="true" outlineLevel="0" collapsed="false">
      <c r="A31" s="21" t="s">
        <v>129</v>
      </c>
      <c r="B31" s="21" t="s">
        <v>130</v>
      </c>
      <c r="C31" s="22" t="n">
        <f aca="false">SUMIF('Raw Data'!$C$5:$C$184,A31,'Raw Data'!$J$5:$J$184)</f>
        <v>1710.22</v>
      </c>
      <c r="D31" s="23" t="n">
        <f aca="false">RANK(C31,$C$24:$C$38,0)</f>
        <v>6</v>
      </c>
      <c r="E31" s="24" t="str">
        <f aca="false">IF(D31&lt;=5,"★ HIGH VALUE","")</f>
        <v/>
      </c>
    </row>
    <row r="32" customFormat="false" ht="15" hidden="false" customHeight="true" outlineLevel="0" collapsed="false">
      <c r="A32" s="21" t="s">
        <v>33</v>
      </c>
      <c r="B32" s="21" t="s">
        <v>34</v>
      </c>
      <c r="C32" s="22" t="n">
        <f aca="false">SUMIF('Raw Data'!$C$5:$C$184,A32,'Raw Data'!$J$5:$J$184)</f>
        <v>1005.58</v>
      </c>
      <c r="D32" s="23" t="n">
        <f aca="false">RANK(C32,$C$24:$C$38,0)</f>
        <v>10</v>
      </c>
      <c r="E32" s="24" t="str">
        <f aca="false">IF(D32&lt;=5,"★ HIGH VALUE","")</f>
        <v/>
      </c>
    </row>
    <row r="33" customFormat="false" ht="15" hidden="false" customHeight="true" outlineLevel="0" collapsed="false">
      <c r="A33" s="21" t="s">
        <v>58</v>
      </c>
      <c r="B33" s="21" t="s">
        <v>59</v>
      </c>
      <c r="C33" s="22" t="n">
        <f aca="false">SUMIF('Raw Data'!$C$5:$C$184,A33,'Raw Data'!$J$5:$J$184)</f>
        <v>916.38</v>
      </c>
      <c r="D33" s="23" t="n">
        <f aca="false">RANK(C33,$C$24:$C$38,0)</f>
        <v>11</v>
      </c>
      <c r="E33" s="24" t="str">
        <f aca="false">IF(D33&lt;=5,"★ HIGH VALUE","")</f>
        <v/>
      </c>
    </row>
    <row r="34" customFormat="false" ht="15" hidden="false" customHeight="true" outlineLevel="0" collapsed="false">
      <c r="A34" s="21" t="s">
        <v>166</v>
      </c>
      <c r="B34" s="21" t="s">
        <v>167</v>
      </c>
      <c r="C34" s="22" t="n">
        <f aca="false">SUMIF('Raw Data'!$C$5:$C$184,A34,'Raw Data'!$J$5:$J$184)</f>
        <v>5090.86</v>
      </c>
      <c r="D34" s="23" t="n">
        <f aca="false">RANK(C34,$C$24:$C$38,0)</f>
        <v>1</v>
      </c>
      <c r="E34" s="24" t="str">
        <f aca="false">IF(D34&lt;=5,"★ HIGH VALUE","")</f>
        <v>★ HIGH VALUE</v>
      </c>
    </row>
    <row r="35" customFormat="false" ht="15" hidden="false" customHeight="true" outlineLevel="0" collapsed="false">
      <c r="A35" s="21" t="s">
        <v>215</v>
      </c>
      <c r="B35" s="21" t="s">
        <v>216</v>
      </c>
      <c r="C35" s="22" t="n">
        <f aca="false">SUMIF('Raw Data'!$C$5:$C$184,A35,'Raw Data'!$J$5:$J$184)</f>
        <v>665.77</v>
      </c>
      <c r="D35" s="23" t="n">
        <f aca="false">RANK(C35,$C$24:$C$38,0)</f>
        <v>13</v>
      </c>
      <c r="E35" s="24" t="str">
        <f aca="false">IF(D35&lt;=5,"★ HIGH VALUE","")</f>
        <v/>
      </c>
    </row>
    <row r="36" customFormat="false" ht="15" hidden="false" customHeight="true" outlineLevel="0" collapsed="false">
      <c r="A36" s="21" t="s">
        <v>13</v>
      </c>
      <c r="B36" s="21" t="s">
        <v>14</v>
      </c>
      <c r="C36" s="22" t="n">
        <f aca="false">SUMIF('Raw Data'!$C$5:$C$184,A36,'Raw Data'!$J$5:$J$184)</f>
        <v>1344.83</v>
      </c>
      <c r="D36" s="23" t="n">
        <f aca="false">RANK(C36,$C$24:$C$38,0)</f>
        <v>9</v>
      </c>
      <c r="E36" s="24" t="str">
        <f aca="false">IF(D36&lt;=5,"★ HIGH VALUE","")</f>
        <v/>
      </c>
    </row>
    <row r="37" customFormat="false" ht="15" hidden="false" customHeight="true" outlineLevel="0" collapsed="false">
      <c r="A37" s="21" t="s">
        <v>30</v>
      </c>
      <c r="B37" s="21" t="s">
        <v>31</v>
      </c>
      <c r="C37" s="22" t="n">
        <f aca="false">SUMIF('Raw Data'!$C$5:$C$184,A37,'Raw Data'!$J$5:$J$184)</f>
        <v>1546.86</v>
      </c>
      <c r="D37" s="23" t="n">
        <f aca="false">RANK(C37,$C$24:$C$38,0)</f>
        <v>8</v>
      </c>
      <c r="E37" s="24" t="str">
        <f aca="false">IF(D37&lt;=5,"★ HIGH VALUE","")</f>
        <v/>
      </c>
    </row>
    <row r="38" customFormat="false" ht="15" hidden="false" customHeight="true" outlineLevel="0" collapsed="false">
      <c r="A38" s="21" t="s">
        <v>73</v>
      </c>
      <c r="B38" s="21" t="s">
        <v>74</v>
      </c>
      <c r="C38" s="22" t="n">
        <f aca="false">SUMIF('Raw Data'!$C$5:$C$184,A38,'Raw Data'!$J$5:$J$184)</f>
        <v>1701.28</v>
      </c>
      <c r="D38" s="23" t="n">
        <f aca="false">RANK(C38,$C$24:$C$38,0)</f>
        <v>7</v>
      </c>
      <c r="E38" s="24" t="str">
        <f aca="false">IF(D38&lt;=5,"★ HIGH VALUE","")</f>
        <v/>
      </c>
    </row>
    <row r="41" customFormat="false" ht="17.25" hidden="false" customHeight="true" outlineLevel="0" collapsed="false">
      <c r="A41" s="13" t="s">
        <v>313</v>
      </c>
      <c r="B41" s="13"/>
      <c r="C41" s="13"/>
      <c r="D41" s="13"/>
      <c r="E41" s="13"/>
      <c r="F41" s="13"/>
    </row>
    <row r="42" customFormat="false" ht="15" hidden="false" customHeight="true" outlineLevel="0" collapsed="false">
      <c r="A42" s="25" t="s">
        <v>6</v>
      </c>
      <c r="B42" s="25" t="s">
        <v>314</v>
      </c>
      <c r="C42" s="25" t="s">
        <v>315</v>
      </c>
      <c r="D42" s="25" t="s">
        <v>302</v>
      </c>
    </row>
    <row r="43" customFormat="false" ht="15" hidden="false" customHeight="true" outlineLevel="0" collapsed="false">
      <c r="A43" s="21" t="s">
        <v>107</v>
      </c>
      <c r="B43" s="23" t="n">
        <f aca="false">COUNTIF('Raw Data'!$E$5:$E$184,A43)</f>
        <v>5</v>
      </c>
      <c r="C43" s="23" t="n">
        <f aca="false">SUMIF('Raw Data'!$E$5:$E$184,A43,'Raw Data'!$G$5:$G$184)</f>
        <v>16</v>
      </c>
      <c r="D43" s="22" t="n">
        <f aca="false">SUMIF('Raw Data'!$E$5:$E$184,A43,'Raw Data'!$J$5:$J$184)</f>
        <v>20558.38</v>
      </c>
    </row>
    <row r="44" customFormat="false" ht="15" hidden="false" customHeight="true" outlineLevel="0" collapsed="false">
      <c r="A44" s="21" t="s">
        <v>54</v>
      </c>
      <c r="B44" s="23" t="n">
        <f aca="false">COUNTIF('Raw Data'!$E$5:$E$184,A44)</f>
        <v>7</v>
      </c>
      <c r="C44" s="23" t="n">
        <f aca="false">SUMIF('Raw Data'!$E$5:$E$184,A44,'Raw Data'!$G$5:$G$184)</f>
        <v>14</v>
      </c>
      <c r="D44" s="22" t="n">
        <f aca="false">SUMIF('Raw Data'!$E$5:$E$184,A44,'Raw Data'!$J$5:$J$184)</f>
        <v>420.75</v>
      </c>
    </row>
    <row r="45" customFormat="false" ht="15" hidden="false" customHeight="true" outlineLevel="0" collapsed="false">
      <c r="A45" s="21" t="s">
        <v>139</v>
      </c>
      <c r="B45" s="23" t="n">
        <f aca="false">COUNTIF('Raw Data'!$E$5:$E$184,A45)</f>
        <v>9</v>
      </c>
      <c r="C45" s="23" t="n">
        <f aca="false">SUMIF('Raw Data'!$E$5:$E$184,A45,'Raw Data'!$G$5:$G$184)</f>
        <v>26</v>
      </c>
      <c r="D45" s="22" t="n">
        <f aca="false">SUMIF('Raw Data'!$E$5:$E$184,A45,'Raw Data'!$J$5:$J$184)</f>
        <v>1294.25</v>
      </c>
    </row>
    <row r="46" customFormat="false" ht="15" hidden="false" customHeight="true" outlineLevel="0" collapsed="false">
      <c r="A46" s="21" t="s">
        <v>45</v>
      </c>
      <c r="B46" s="23" t="n">
        <f aca="false">COUNTIF('Raw Data'!$E$5:$E$184,A46)</f>
        <v>13</v>
      </c>
      <c r="C46" s="23" t="n">
        <f aca="false">SUMIF('Raw Data'!$E$5:$E$184,A46,'Raw Data'!$G$5:$G$184)</f>
        <v>41</v>
      </c>
      <c r="D46" s="22" t="n">
        <f aca="false">SUMIF('Raw Data'!$E$5:$E$184,A46,'Raw Data'!$J$5:$J$184)</f>
        <v>3654.15</v>
      </c>
    </row>
    <row r="47" customFormat="false" ht="15" hidden="false" customHeight="true" outlineLevel="0" collapsed="false">
      <c r="A47" s="21" t="s">
        <v>56</v>
      </c>
      <c r="B47" s="23" t="n">
        <f aca="false">COUNTIF('Raw Data'!$E$5:$E$184,A47)</f>
        <v>8</v>
      </c>
      <c r="C47" s="23" t="n">
        <f aca="false">SUMIF('Raw Data'!$E$5:$E$184,A47,'Raw Data'!$G$5:$G$184)</f>
        <v>21</v>
      </c>
      <c r="D47" s="22" t="n">
        <f aca="false">SUMIF('Raw Data'!$E$5:$E$184,A47,'Raw Data'!$J$5:$J$184)</f>
        <v>7463.55</v>
      </c>
    </row>
    <row r="48" customFormat="false" ht="15" hidden="false" customHeight="true" outlineLevel="0" collapsed="false">
      <c r="A48" s="21" t="s">
        <v>75</v>
      </c>
      <c r="B48" s="23" t="n">
        <f aca="false">COUNTIF('Raw Data'!$E$5:$E$184,A48)</f>
        <v>5</v>
      </c>
      <c r="C48" s="23" t="n">
        <f aca="false">SUMIF('Raw Data'!$E$5:$E$184,A48,'Raw Data'!$G$5:$G$184)</f>
        <v>14</v>
      </c>
      <c r="D48" s="22" t="n">
        <f aca="false">SUMIF('Raw Data'!$E$5:$E$184,A48,'Raw Data'!$J$5:$J$184)</f>
        <v>3474.73</v>
      </c>
    </row>
    <row r="49" customFormat="false" ht="15" hidden="false" customHeight="true" outlineLevel="0" collapsed="false">
      <c r="A49" s="21" t="s">
        <v>86</v>
      </c>
      <c r="B49" s="23" t="n">
        <f aca="false">COUNTIF('Raw Data'!$E$5:$E$184,A49)</f>
        <v>9</v>
      </c>
      <c r="C49" s="23" t="n">
        <f aca="false">SUMIF('Raw Data'!$E$5:$E$184,A49,'Raw Data'!$G$5:$G$184)</f>
        <v>25</v>
      </c>
      <c r="D49" s="22" t="n">
        <f aca="false">SUMIF('Raw Data'!$E$5:$E$184,A49,'Raw Data'!$J$5:$J$184)</f>
        <v>9782.3</v>
      </c>
    </row>
    <row r="50" customFormat="false" ht="15" hidden="false" customHeight="true" outlineLevel="0" collapsed="false">
      <c r="A50" s="21" t="s">
        <v>26</v>
      </c>
      <c r="B50" s="23" t="n">
        <f aca="false">COUNTIF('Raw Data'!$E$5:$E$184,A50)</f>
        <v>6</v>
      </c>
      <c r="C50" s="23" t="n">
        <f aca="false">SUMIF('Raw Data'!$E$5:$E$184,A50,'Raw Data'!$G$5:$G$184)</f>
        <v>21</v>
      </c>
      <c r="D50" s="22" t="n">
        <f aca="false">SUMIF('Raw Data'!$E$5:$E$184,A50,'Raw Data'!$J$5:$J$184)</f>
        <v>834.68</v>
      </c>
    </row>
    <row r="51" customFormat="false" ht="15" hidden="false" customHeight="true" outlineLevel="0" collapsed="false">
      <c r="A51" s="21" t="s">
        <v>67</v>
      </c>
      <c r="B51" s="23" t="n">
        <f aca="false">COUNTIF('Raw Data'!$E$5:$E$184,A51)</f>
        <v>13</v>
      </c>
      <c r="C51" s="23" t="n">
        <f aca="false">SUMIF('Raw Data'!$E$5:$E$184,A51,'Raw Data'!$G$5:$G$184)</f>
        <v>42</v>
      </c>
      <c r="D51" s="22" t="n">
        <f aca="false">SUMIF('Raw Data'!$E$5:$E$184,A51,'Raw Data'!$J$5:$J$184)</f>
        <v>551.34</v>
      </c>
    </row>
    <row r="52" customFormat="false" ht="15" hidden="false" customHeight="true" outlineLevel="0" collapsed="false">
      <c r="A52" s="21" t="s">
        <v>51</v>
      </c>
      <c r="B52" s="23" t="n">
        <f aca="false">COUNTIF('Raw Data'!$E$5:$E$184,A52)</f>
        <v>13</v>
      </c>
      <c r="C52" s="23" t="n">
        <f aca="false">SUMIF('Raw Data'!$E$5:$E$184,A52,'Raw Data'!$G$5:$G$184)</f>
        <v>39</v>
      </c>
      <c r="D52" s="22" t="n">
        <f aca="false">SUMIF('Raw Data'!$E$5:$E$184,A52,'Raw Data'!$J$5:$J$184)</f>
        <v>347.99</v>
      </c>
    </row>
    <row r="53" customFormat="false" ht="15" hidden="false" customHeight="true" outlineLevel="0" collapsed="false">
      <c r="A53" s="21" t="s">
        <v>120</v>
      </c>
      <c r="B53" s="23" t="n">
        <f aca="false">COUNTIF('Raw Data'!$E$5:$E$184,A53)</f>
        <v>11</v>
      </c>
      <c r="C53" s="23" t="n">
        <f aca="false">SUMIF('Raw Data'!$E$5:$E$184,A53,'Raw Data'!$G$5:$G$184)</f>
        <v>33</v>
      </c>
      <c r="D53" s="22" t="n">
        <f aca="false">SUMIF('Raw Data'!$E$5:$E$184,A53,'Raw Data'!$J$5:$J$184)</f>
        <v>213.45</v>
      </c>
    </row>
    <row r="54" customFormat="false" ht="15" hidden="false" customHeight="true" outlineLevel="0" collapsed="false">
      <c r="A54" s="21" t="s">
        <v>150</v>
      </c>
      <c r="B54" s="23" t="n">
        <f aca="false">COUNTIF('Raw Data'!$E$5:$E$184,A54)</f>
        <v>7</v>
      </c>
      <c r="C54" s="23" t="n">
        <f aca="false">SUMIF('Raw Data'!$E$5:$E$184,A54,'Raw Data'!$G$5:$G$184)</f>
        <v>21</v>
      </c>
      <c r="D54" s="22" t="n">
        <f aca="false">SUMIF('Raw Data'!$E$5:$E$184,A54,'Raw Data'!$J$5:$J$184)</f>
        <v>1645.01</v>
      </c>
    </row>
    <row r="55" customFormat="false" ht="15" hidden="false" customHeight="true" outlineLevel="0" collapsed="false">
      <c r="A55" s="21" t="s">
        <v>60</v>
      </c>
      <c r="B55" s="23" t="n">
        <f aca="false">COUNTIF('Raw Data'!$E$5:$E$184,A55)</f>
        <v>5</v>
      </c>
      <c r="C55" s="23" t="n">
        <f aca="false">SUMIF('Raw Data'!$E$5:$E$184,A55,'Raw Data'!$G$5:$G$184)</f>
        <v>23</v>
      </c>
      <c r="D55" s="22" t="n">
        <f aca="false">SUMIF('Raw Data'!$E$5:$E$184,A55,'Raw Data'!$J$5:$J$184)</f>
        <v>1378.82</v>
      </c>
    </row>
    <row r="56" customFormat="false" ht="15" hidden="false" customHeight="true" outlineLevel="0" collapsed="false">
      <c r="A56" s="21" t="s">
        <v>81</v>
      </c>
      <c r="B56" s="23" t="n">
        <f aca="false">COUNTIF('Raw Data'!$E$5:$E$184,A56)</f>
        <v>9</v>
      </c>
      <c r="C56" s="23" t="n">
        <f aca="false">SUMIF('Raw Data'!$E$5:$E$184,A56,'Raw Data'!$G$5:$G$184)</f>
        <v>25</v>
      </c>
      <c r="D56" s="22" t="n">
        <f aca="false">SUMIF('Raw Data'!$E$5:$E$184,A56,'Raw Data'!$J$5:$J$184)</f>
        <v>2516.39</v>
      </c>
    </row>
    <row r="57" customFormat="false" ht="15" hidden="false" customHeight="true" outlineLevel="0" collapsed="false">
      <c r="A57" s="21" t="s">
        <v>21</v>
      </c>
      <c r="B57" s="23" t="n">
        <f aca="false">COUNTIF('Raw Data'!$E$5:$E$184,A57)</f>
        <v>9</v>
      </c>
      <c r="C57" s="23" t="n">
        <f aca="false">SUMIF('Raw Data'!$E$5:$E$184,A57,'Raw Data'!$G$5:$G$184)</f>
        <v>32</v>
      </c>
      <c r="D57" s="22" t="n">
        <f aca="false">SUMIF('Raw Data'!$E$5:$E$184,A57,'Raw Data'!$J$5:$J$184)</f>
        <v>1091.98</v>
      </c>
    </row>
    <row r="58" customFormat="false" ht="15" hidden="false" customHeight="true" outlineLevel="0" collapsed="false">
      <c r="A58" s="21" t="s">
        <v>125</v>
      </c>
      <c r="B58" s="23" t="n">
        <f aca="false">COUNTIF('Raw Data'!$E$5:$E$184,A58)</f>
        <v>8</v>
      </c>
      <c r="C58" s="23" t="n">
        <f aca="false">SUMIF('Raw Data'!$E$5:$E$184,A58,'Raw Data'!$G$5:$G$184)</f>
        <v>25</v>
      </c>
      <c r="D58" s="22" t="n">
        <f aca="false">SUMIF('Raw Data'!$E$5:$E$184,A58,'Raw Data'!$J$5:$J$184)</f>
        <v>1769.42</v>
      </c>
    </row>
    <row r="59" customFormat="false" ht="15" hidden="false" customHeight="true" outlineLevel="0" collapsed="false">
      <c r="A59" s="21" t="s">
        <v>161</v>
      </c>
      <c r="B59" s="23" t="n">
        <f aca="false">COUNTIF('Raw Data'!$E$5:$E$184,A59)</f>
        <v>7</v>
      </c>
      <c r="C59" s="23" t="n">
        <f aca="false">SUMIF('Raw Data'!$E$5:$E$184,A59,'Raw Data'!$G$5:$G$184)</f>
        <v>20</v>
      </c>
      <c r="D59" s="22" t="n">
        <f aca="false">SUMIF('Raw Data'!$E$5:$E$184,A59,'Raw Data'!$J$5:$J$184)</f>
        <v>403.21</v>
      </c>
    </row>
    <row r="60" customFormat="false" ht="15" hidden="false" customHeight="true" outlineLevel="0" collapsed="false">
      <c r="A60" s="21" t="s">
        <v>15</v>
      </c>
      <c r="B60" s="23" t="n">
        <f aca="false">COUNTIF('Raw Data'!$E$5:$E$184,A60)</f>
        <v>14</v>
      </c>
      <c r="C60" s="23" t="n">
        <f aca="false">SUMIF('Raw Data'!$E$5:$E$184,A60,'Raw Data'!$G$5:$G$184)</f>
        <v>39</v>
      </c>
      <c r="D60" s="22" t="n">
        <f aca="false">SUMIF('Raw Data'!$E$5:$E$184,A60,'Raw Data'!$J$5:$J$184)</f>
        <v>989.14</v>
      </c>
    </row>
    <row r="61" customFormat="false" ht="15" hidden="false" customHeight="true" outlineLevel="0" collapsed="false">
      <c r="A61" s="21" t="s">
        <v>39</v>
      </c>
      <c r="B61" s="23" t="n">
        <f aca="false">COUNTIF('Raw Data'!$E$5:$E$184,A61)</f>
        <v>12</v>
      </c>
      <c r="C61" s="23" t="n">
        <f aca="false">SUMIF('Raw Data'!$E$5:$E$184,A61,'Raw Data'!$G$5:$G$184)</f>
        <v>31</v>
      </c>
      <c r="D61" s="22" t="n">
        <f aca="false">SUMIF('Raw Data'!$E$5:$E$184,A61,'Raw Data'!$J$5:$J$184)</f>
        <v>1698.95</v>
      </c>
    </row>
    <row r="62" customFormat="false" ht="15" hidden="false" customHeight="true" outlineLevel="0" collapsed="false">
      <c r="A62" s="21" t="s">
        <v>65</v>
      </c>
      <c r="B62" s="23" t="n">
        <f aca="false">COUNTIF('Raw Data'!$E$5:$E$184,A62)</f>
        <v>10</v>
      </c>
      <c r="C62" s="23" t="n">
        <f aca="false">SUMIF('Raw Data'!$E$5:$E$184,A62,'Raw Data'!$G$5:$G$184)</f>
        <v>34</v>
      </c>
      <c r="D62" s="22" t="n">
        <f aca="false">SUMIF('Raw Data'!$E$5:$E$184,A62,'Raw Data'!$J$5:$J$184)</f>
        <v>687.61</v>
      </c>
    </row>
    <row r="64" customFormat="false" ht="15" hidden="false" customHeight="true" outlineLevel="0" collapsed="false">
      <c r="A64" s="10" t="s">
        <v>316</v>
      </c>
      <c r="B64" s="26" t="str">
        <f aca="false">INDEX(A43:A62,MATCH(MAX(B43:B62),B43:B62,0))</f>
        <v>Water Bottle Insulated</v>
      </c>
    </row>
    <row r="65" customFormat="false" ht="15" hidden="false" customHeight="true" outlineLevel="0" collapsed="false">
      <c r="A65" s="1" t="s">
        <v>317</v>
      </c>
      <c r="B65" s="26" t="str">
        <f aca="false">INDEX(A43:A62,MATCH(MAX(D43:D62),D43:D62,0))</f>
        <v>Laptop Pro 15</v>
      </c>
    </row>
    <row r="68" customFormat="false" ht="17.25" hidden="false" customHeight="true" outlineLevel="0" collapsed="false">
      <c r="A68" s="13" t="s">
        <v>318</v>
      </c>
      <c r="B68" s="13"/>
      <c r="C68" s="13"/>
      <c r="D68" s="13"/>
      <c r="E68" s="13"/>
      <c r="F68" s="13"/>
    </row>
    <row r="69" customFormat="false" ht="15" hidden="false" customHeight="true" outlineLevel="0" collapsed="false">
      <c r="A69" s="25" t="s">
        <v>319</v>
      </c>
      <c r="B69" s="25" t="s">
        <v>320</v>
      </c>
      <c r="C69" s="25" t="s">
        <v>321</v>
      </c>
      <c r="D69" s="25" t="s">
        <v>322</v>
      </c>
    </row>
    <row r="70" customFormat="false" ht="15" hidden="false" customHeight="true" outlineLevel="0" collapsed="false">
      <c r="A70" s="21" t="s">
        <v>135</v>
      </c>
      <c r="B70" s="27"/>
      <c r="C70" s="24" t="str">
        <f aca="false">IF(COUNTIF('Raw Data'!$D$5:$D$184,A70)&gt;0,"MATCH","NO MATCH")</f>
        <v>MATCH</v>
      </c>
      <c r="D70" s="23" t="str">
        <f aca="false">IF(C70="MATCH",A70,"")</f>
        <v>Alice Johnson</v>
      </c>
    </row>
    <row r="71" customFormat="false" ht="15" hidden="false" customHeight="true" outlineLevel="0" collapsed="false">
      <c r="A71" s="21" t="s">
        <v>79</v>
      </c>
      <c r="B71" s="27"/>
      <c r="C71" s="24" t="str">
        <f aca="false">IF(COUNTIF('Raw Data'!$D$5:$D$184,A71)&gt;0,"MATCH","NO MATCH")</f>
        <v>MATCH</v>
      </c>
      <c r="D71" s="23" t="str">
        <f aca="false">IF(C71="MATCH",A71,"")</f>
        <v>Bob Smith</v>
      </c>
    </row>
    <row r="72" customFormat="false" ht="15" hidden="false" customHeight="true" outlineLevel="0" collapsed="false">
      <c r="A72" s="21" t="s">
        <v>71</v>
      </c>
      <c r="B72" s="27"/>
      <c r="C72" s="24" t="str">
        <f aca="false">IF(COUNTIF('Raw Data'!$D$5:$D$184,A72)&gt;0,"MATCH","NO MATCH")</f>
        <v>MATCH</v>
      </c>
      <c r="D72" s="23" t="str">
        <f aca="false">IF(C72="MATCH",A72,"")</f>
        <v>Zane Allen</v>
      </c>
    </row>
    <row r="73" customFormat="false" ht="15" hidden="false" customHeight="true" outlineLevel="0" collapsed="false">
      <c r="A73" s="21" t="s">
        <v>323</v>
      </c>
      <c r="B73" s="27"/>
      <c r="C73" s="24" t="str">
        <f aca="false">IF(COUNTIF('Raw Data'!$D$5:$D$184,A73)&gt;0,"MATCH","NO MATCH")</f>
        <v>NO MATCH</v>
      </c>
      <c r="D73" s="23" t="str">
        <f aca="false">IF(C73="MATCH",A73,"")</f>
        <v/>
      </c>
    </row>
    <row r="74" customFormat="false" ht="15" hidden="false" customHeight="true" outlineLevel="0" collapsed="false">
      <c r="A74" s="21" t="s">
        <v>85</v>
      </c>
      <c r="B74" s="27"/>
      <c r="C74" s="24" t="str">
        <f aca="false">IF(COUNTIF('Raw Data'!$D$5:$D$184,A74)&gt;0,"MATCH","NO MATCH")</f>
        <v>MATCH</v>
      </c>
      <c r="D74" s="23" t="str">
        <f aca="false">IF(C74="MATCH",A74,"")</f>
        <v>Emma Davis</v>
      </c>
    </row>
    <row r="75" customFormat="false" ht="15" hidden="false" customHeight="true" outlineLevel="0" collapsed="false">
      <c r="A75" s="21" t="s">
        <v>324</v>
      </c>
      <c r="B75" s="27"/>
      <c r="C75" s="24" t="str">
        <f aca="false">IF(COUNTIF('Raw Data'!$D$5:$D$184,A75)&gt;0,"MATCH","NO MATCH")</f>
        <v>NO MATCH</v>
      </c>
      <c r="D75" s="23" t="str">
        <f aca="false">IF(C75="MATCH",A75,"")</f>
        <v/>
      </c>
    </row>
    <row r="76" customFormat="false" ht="15" hidden="false" customHeight="true" outlineLevel="0" collapsed="false">
      <c r="A76" s="21" t="s">
        <v>74</v>
      </c>
      <c r="B76" s="27"/>
      <c r="C76" s="24" t="str">
        <f aca="false">IF(COUNTIF('Raw Data'!$D$5:$D$184,A76)&gt;0,"MATCH","NO MATCH")</f>
        <v>MATCH</v>
      </c>
      <c r="D76" s="23" t="str">
        <f aca="false">IF(C76="MATCH",A76,"")</f>
        <v>Olivia Martin</v>
      </c>
    </row>
    <row r="77" customFormat="false" ht="15" hidden="false" customHeight="true" outlineLevel="0" collapsed="false">
      <c r="A77" s="21" t="s">
        <v>50</v>
      </c>
      <c r="B77" s="27"/>
      <c r="C77" s="24" t="str">
        <f aca="false">IF(COUNTIF('Raw Data'!$D$5:$D$184,A77)&gt;0,"MATCH","NO MATCH")</f>
        <v>MATCH</v>
      </c>
      <c r="D77" s="23" t="str">
        <f aca="false">IF(C77="MATCH",A77,"")</f>
        <v>Wendy Lee</v>
      </c>
    </row>
    <row r="78" customFormat="false" ht="15" hidden="false" customHeight="true" outlineLevel="0" collapsed="false">
      <c r="A78" s="21" t="s">
        <v>325</v>
      </c>
      <c r="B78" s="27"/>
      <c r="C78" s="24" t="str">
        <f aca="false">IF(COUNTIF('Raw Data'!$D$5:$D$184,A78)&gt;0,"MATCH","NO MATCH")</f>
        <v>NO MATCH</v>
      </c>
      <c r="D78" s="23" t="str">
        <f aca="false">IF(C78="MATCH",A78,"")</f>
        <v/>
      </c>
    </row>
    <row r="79" customFormat="false" ht="15" hidden="false" customHeight="true" outlineLevel="0" collapsed="false">
      <c r="A79" s="21" t="s">
        <v>59</v>
      </c>
      <c r="B79" s="27"/>
      <c r="C79" s="24" t="str">
        <f aca="false">IF(COUNTIF('Raw Data'!$D$5:$D$184,A79)&gt;0,"MATCH","NO MATCH")</f>
        <v>MATCH</v>
      </c>
      <c r="D79" s="23" t="str">
        <f aca="false">IF(C79="MATCH",A79,"")</f>
        <v>Jack Anderson</v>
      </c>
    </row>
    <row r="81" customFormat="false" ht="15" hidden="false" customHeight="true" outlineLevel="0" collapsed="false">
      <c r="A81" s="10" t="s">
        <v>326</v>
      </c>
    </row>
    <row r="82" customFormat="false" ht="15" hidden="false" customHeight="true" outlineLevel="0" collapsed="false">
      <c r="A82" s="28" t="s">
        <v>327</v>
      </c>
    </row>
    <row r="83" customFormat="false" ht="15" hidden="false" customHeight="true" outlineLevel="0" collapsed="false">
      <c r="A83" s="1" t="s">
        <v>328</v>
      </c>
    </row>
    <row r="85" customFormat="false" ht="17.25" hidden="false" customHeight="true" outlineLevel="0" collapsed="false">
      <c r="A85" s="13" t="s">
        <v>329</v>
      </c>
      <c r="B85" s="13"/>
      <c r="C85" s="13"/>
      <c r="D85" s="13"/>
      <c r="E85" s="13"/>
      <c r="F85" s="13"/>
    </row>
    <row r="86" customFormat="false" ht="15" hidden="false" customHeight="true" outlineLevel="0" collapsed="false">
      <c r="A86" s="25" t="s">
        <v>330</v>
      </c>
      <c r="B86" s="25" t="s">
        <v>331</v>
      </c>
      <c r="C86" s="25" t="s">
        <v>332</v>
      </c>
      <c r="D86" s="25" t="s">
        <v>333</v>
      </c>
    </row>
    <row r="87" customFormat="false" ht="15" hidden="false" customHeight="true" outlineLevel="0" collapsed="false">
      <c r="A87" s="21" t="s">
        <v>135</v>
      </c>
      <c r="B87" s="23" t="str">
        <f aca="false">UPPER(LEFT(A87,3)&amp;LEFT(RIGHT(A87,LEN(A87)-FIND(" ",A87)),3))</f>
        <v>ALIJOH</v>
      </c>
      <c r="C87" s="23" t="str">
        <f aca="false">LEFT(A87,1)&amp;MID(A87,FIND(" ",A87)+1,1)</f>
        <v>AJ</v>
      </c>
      <c r="D87" s="23" t="str">
        <f aca="false">TEXT(ROW(),"000")&amp;"-"&amp;LEFT(A87,2)</f>
        <v>087-Al</v>
      </c>
    </row>
    <row r="88" customFormat="false" ht="15" hidden="false" customHeight="true" outlineLevel="0" collapsed="false">
      <c r="A88" s="21" t="s">
        <v>79</v>
      </c>
      <c r="B88" s="23" t="str">
        <f aca="false">UPPER(LEFT(A88,3)&amp;LEFT(RIGHT(A88,LEN(A88)-FIND(" ",A88)),3))</f>
        <v>BOBSMI</v>
      </c>
      <c r="C88" s="23" t="str">
        <f aca="false">LEFT(A88,1)&amp;MID(A88,FIND(" ",A88)+1,1)</f>
        <v>BS</v>
      </c>
      <c r="D88" s="23" t="str">
        <f aca="false">TEXT(ROW(),"000")&amp;"-"&amp;LEFT(A88,2)</f>
        <v>088-Bo</v>
      </c>
    </row>
    <row r="89" customFormat="false" ht="15" hidden="false" customHeight="true" outlineLevel="0" collapsed="false">
      <c r="A89" s="21" t="s">
        <v>64</v>
      </c>
      <c r="B89" s="23" t="str">
        <f aca="false">UPPER(LEFT(A89,3)&amp;LEFT(RIGHT(A89,LEN(A89)-FIND(" ",A89)),3))</f>
        <v>CARWIL</v>
      </c>
      <c r="C89" s="23" t="str">
        <f aca="false">LEFT(A89,1)&amp;MID(A89,FIND(" ",A89)+1,1)</f>
        <v>CW</v>
      </c>
      <c r="D89" s="23" t="str">
        <f aca="false">TEXT(ROW(),"000")&amp;"-"&amp;LEFT(A89,2)</f>
        <v>089-Ca</v>
      </c>
    </row>
    <row r="90" customFormat="false" ht="15" hidden="false" customHeight="true" outlineLevel="0" collapsed="false">
      <c r="A90" s="21" t="s">
        <v>192</v>
      </c>
      <c r="B90" s="23" t="str">
        <f aca="false">UPPER(LEFT(A90,3)&amp;LEFT(RIGHT(A90,LEN(A90)-FIND(" ",A90)),3))</f>
        <v>DAVBRO</v>
      </c>
      <c r="C90" s="23" t="str">
        <f aca="false">LEFT(A90,1)&amp;MID(A90,FIND(" ",A90)+1,1)</f>
        <v>DB</v>
      </c>
      <c r="D90" s="23" t="str">
        <f aca="false">TEXT(ROW(),"000")&amp;"-"&amp;LEFT(A90,2)</f>
        <v>090-Da</v>
      </c>
    </row>
    <row r="91" customFormat="false" ht="15" hidden="false" customHeight="true" outlineLevel="0" collapsed="false">
      <c r="A91" s="21" t="s">
        <v>85</v>
      </c>
      <c r="B91" s="23" t="str">
        <f aca="false">UPPER(LEFT(A91,3)&amp;LEFT(RIGHT(A91,LEN(A91)-FIND(" ",A91)),3))</f>
        <v>EMMDAV</v>
      </c>
      <c r="C91" s="23" t="str">
        <f aca="false">LEFT(A91,1)&amp;MID(A91,FIND(" ",A91)+1,1)</f>
        <v>ED</v>
      </c>
      <c r="D91" s="23" t="str">
        <f aca="false">TEXT(ROW(),"000")&amp;"-"&amp;LEFT(A91,2)</f>
        <v>091-Em</v>
      </c>
    </row>
    <row r="94" customFormat="false" ht="17.25" hidden="false" customHeight="true" outlineLevel="0" collapsed="false">
      <c r="A94" s="13" t="s">
        <v>334</v>
      </c>
      <c r="B94" s="13"/>
      <c r="C94" s="13"/>
      <c r="D94" s="13"/>
      <c r="E94" s="13"/>
      <c r="F94" s="13"/>
    </row>
    <row r="95" customFormat="false" ht="15" hidden="false" customHeight="true" outlineLevel="0" collapsed="false">
      <c r="A95" s="25" t="s">
        <v>335</v>
      </c>
      <c r="B95" s="25" t="s">
        <v>7</v>
      </c>
      <c r="C95" s="25" t="s">
        <v>336</v>
      </c>
    </row>
    <row r="96" customFormat="false" ht="15" hidden="false" customHeight="true" outlineLevel="0" collapsed="false">
      <c r="A96" s="21" t="s">
        <v>107</v>
      </c>
      <c r="B96" s="21" t="s">
        <v>46</v>
      </c>
      <c r="C96" s="22" t="n">
        <f aca="false">AVERAGEIF('Raw Data'!$E$5:$E$184,A96,'Raw Data'!$H$5:$H$184)</f>
        <v>1287.878</v>
      </c>
    </row>
    <row r="97" customFormat="false" ht="15" hidden="false" customHeight="true" outlineLevel="0" collapsed="false">
      <c r="A97" s="21" t="s">
        <v>54</v>
      </c>
      <c r="B97" s="21" t="s">
        <v>46</v>
      </c>
      <c r="C97" s="22" t="n">
        <f aca="false">AVERAGEIF('Raw Data'!$E$5:$E$184,A97,'Raw Data'!$H$5:$H$184)</f>
        <v>30.2414285714286</v>
      </c>
    </row>
    <row r="98" customFormat="false" ht="15" hidden="false" customHeight="true" outlineLevel="0" collapsed="false">
      <c r="A98" s="21" t="s">
        <v>139</v>
      </c>
      <c r="B98" s="21" t="s">
        <v>46</v>
      </c>
      <c r="C98" s="22" t="n">
        <f aca="false">AVERAGEIF('Raw Data'!$E$5:$E$184,A98,'Raw Data'!$H$5:$H$184)</f>
        <v>49.9866666666667</v>
      </c>
    </row>
    <row r="99" customFormat="false" ht="15" hidden="false" customHeight="true" outlineLevel="0" collapsed="false">
      <c r="A99" s="21" t="s">
        <v>45</v>
      </c>
      <c r="B99" s="21" t="s">
        <v>46</v>
      </c>
      <c r="C99" s="22" t="n">
        <f aca="false">AVERAGEIF('Raw Data'!$E$5:$E$184,A99,'Raw Data'!$H$5:$H$184)</f>
        <v>89.3369230769231</v>
      </c>
    </row>
    <row r="100" customFormat="false" ht="15" hidden="false" customHeight="true" outlineLevel="0" collapsed="false">
      <c r="A100" s="21" t="s">
        <v>56</v>
      </c>
      <c r="B100" s="21" t="s">
        <v>46</v>
      </c>
      <c r="C100" s="22" t="n">
        <f aca="false">AVERAGEIF('Raw Data'!$E$5:$E$184,A100,'Raw Data'!$H$5:$H$184)</f>
        <v>352.95125</v>
      </c>
    </row>
    <row r="104" customFormat="false" ht="17.25" hidden="false" customHeight="true" outlineLevel="0" collapsed="false">
      <c r="A104" s="13" t="s">
        <v>337</v>
      </c>
      <c r="B104" s="13"/>
      <c r="C104" s="13"/>
      <c r="D104" s="13"/>
      <c r="E104" s="13"/>
      <c r="F104" s="13"/>
    </row>
    <row r="105" customFormat="false" ht="15" hidden="false" customHeight="true" outlineLevel="0" collapsed="false">
      <c r="A105" s="25" t="s">
        <v>10</v>
      </c>
      <c r="B105" s="25" t="s">
        <v>11</v>
      </c>
      <c r="C105" s="25" t="s">
        <v>338</v>
      </c>
    </row>
    <row r="106" customFormat="false" ht="15" hidden="false" customHeight="true" outlineLevel="0" collapsed="false">
      <c r="A106" s="21" t="s">
        <v>28</v>
      </c>
      <c r="B106" s="22" t="n">
        <f aca="false">SUMIF('Raw Data'!$I$5:$I$184,A106,'Raw Data'!$J$5:$J$184)</f>
        <v>7706.37</v>
      </c>
      <c r="C106" s="29" t="n">
        <f aca="false">B106/AVERAGE($B$106:$B$110)</f>
        <v>0.633996752012716</v>
      </c>
    </row>
    <row r="107" customFormat="false" ht="15" hidden="false" customHeight="true" outlineLevel="0" collapsed="false">
      <c r="A107" s="21" t="s">
        <v>35</v>
      </c>
      <c r="B107" s="22" t="n">
        <f aca="false">SUMIF('Raw Data'!$I$5:$I$184,A107,'Raw Data'!$J$5:$J$184)</f>
        <v>16680.97</v>
      </c>
      <c r="C107" s="29" t="n">
        <f aca="false">B107/AVERAGE($B$106:$B$110)</f>
        <v>1.37232974804241</v>
      </c>
    </row>
    <row r="108" customFormat="false" ht="15" hidden="false" customHeight="true" outlineLevel="0" collapsed="false">
      <c r="A108" s="21" t="s">
        <v>17</v>
      </c>
      <c r="B108" s="22" t="n">
        <f aca="false">SUMIF('Raw Data'!$I$5:$I$184,A108,'Raw Data'!$J$5:$J$184)</f>
        <v>14821.2</v>
      </c>
      <c r="C108" s="29" t="n">
        <f aca="false">B108/AVERAGE($B$106:$B$110)</f>
        <v>1.21932799241807</v>
      </c>
    </row>
    <row r="109" customFormat="false" ht="15" hidden="false" customHeight="true" outlineLevel="0" collapsed="false">
      <c r="A109" s="21" t="s">
        <v>41</v>
      </c>
      <c r="B109" s="22" t="n">
        <f aca="false">SUMIF('Raw Data'!$I$5:$I$184,A109,'Raw Data'!$J$5:$J$184)</f>
        <v>13893.73</v>
      </c>
      <c r="C109" s="29" t="n">
        <f aca="false">B109/AVERAGE($B$106:$B$110)</f>
        <v>1.14302579467916</v>
      </c>
    </row>
    <row r="110" customFormat="false" ht="15" hidden="false" customHeight="true" outlineLevel="0" collapsed="false">
      <c r="A110" s="21" t="s">
        <v>22</v>
      </c>
      <c r="B110" s="22" t="n">
        <f aca="false">SUMIF('Raw Data'!$I$5:$I$184,A110,'Raw Data'!$J$5:$J$184)</f>
        <v>7673.83</v>
      </c>
      <c r="C110" s="29" t="n">
        <f aca="false">B110/AVERAGE($B$106:$B$110)</f>
        <v>0.631319712847649</v>
      </c>
    </row>
    <row r="113" customFormat="false" ht="17.25" hidden="false" customHeight="true" outlineLevel="0" collapsed="false">
      <c r="A113" s="13" t="s">
        <v>339</v>
      </c>
      <c r="B113" s="13"/>
      <c r="C113" s="13"/>
      <c r="D113" s="13"/>
      <c r="E113" s="13"/>
      <c r="F113" s="13"/>
    </row>
    <row r="114" customFormat="false" ht="15" hidden="false" customHeight="true" outlineLevel="0" collapsed="false">
      <c r="A114" s="28" t="s">
        <v>340</v>
      </c>
    </row>
    <row r="115" customFormat="false" ht="15" hidden="false" customHeight="true" outlineLevel="0" collapsed="false">
      <c r="A115" s="28" t="s">
        <v>341</v>
      </c>
    </row>
    <row r="117" customFormat="false" ht="15" hidden="false" customHeight="true" outlineLevel="0" collapsed="false">
      <c r="A117" s="25" t="s">
        <v>342</v>
      </c>
      <c r="B117" s="25" t="s">
        <v>343</v>
      </c>
      <c r="C117" s="25" t="s">
        <v>344</v>
      </c>
    </row>
    <row r="118" customFormat="false" ht="15" hidden="false" customHeight="true" outlineLevel="0" collapsed="false">
      <c r="A118" s="21" t="n">
        <v>1</v>
      </c>
      <c r="B118" s="21" t="s">
        <v>345</v>
      </c>
      <c r="C118" s="22" t="n">
        <f aca="false">SUMPRODUCT(('Raw Data'!$B$5:$B$184&gt;=DATE(2024,4,1))*('Raw Data'!$B$5:$B$184&lt;DATE(2024,5,1))*('Raw Data'!$J$5:$J$184))</f>
        <v>964.35</v>
      </c>
    </row>
    <row r="119" customFormat="false" ht="15" hidden="false" customHeight="true" outlineLevel="0" collapsed="false">
      <c r="A119" s="21" t="n">
        <v>2</v>
      </c>
      <c r="B119" s="21" t="s">
        <v>346</v>
      </c>
      <c r="C119" s="22" t="n">
        <f aca="false">SUMPRODUCT(('Raw Data'!$B$5:$B$184&gt;=DATE(2024,5,1))*('Raw Data'!$B$5:$B$184&lt;DATE(2024,6,1))*('Raw Data'!$J$5:$J$184))</f>
        <v>3565.91</v>
      </c>
    </row>
    <row r="120" customFormat="false" ht="15" hidden="false" customHeight="true" outlineLevel="0" collapsed="false">
      <c r="A120" s="21" t="n">
        <v>3</v>
      </c>
      <c r="B120" s="21" t="s">
        <v>347</v>
      </c>
      <c r="C120" s="22" t="n">
        <f aca="false">SUMPRODUCT(('Raw Data'!$B$5:$B$184&gt;=DATE(2024,6,1))*('Raw Data'!$B$5:$B$184&lt;DATE(2024,7,1))*('Raw Data'!$J$5:$J$184))</f>
        <v>4299.53</v>
      </c>
    </row>
    <row r="121" customFormat="false" ht="15" hidden="false" customHeight="true" outlineLevel="0" collapsed="false">
      <c r="A121" s="21" t="n">
        <v>4</v>
      </c>
      <c r="B121" s="21" t="s">
        <v>348</v>
      </c>
      <c r="C121" s="22" t="n">
        <f aca="false">SUMPRODUCT(('Raw Data'!$B$5:$B$184&gt;=DATE(2024,7,1))*('Raw Data'!$B$5:$B$184&lt;DATE(2024,8,1))*('Raw Data'!$J$5:$J$184))</f>
        <v>8998.05</v>
      </c>
    </row>
    <row r="122" customFormat="false" ht="15" hidden="false" customHeight="true" outlineLevel="0" collapsed="false">
      <c r="A122" s="21" t="n">
        <v>5</v>
      </c>
      <c r="B122" s="21" t="s">
        <v>349</v>
      </c>
      <c r="C122" s="22" t="n">
        <f aca="false">SUMPRODUCT(('Raw Data'!$B$5:$B$184&gt;=DATE(2024,8,1))*('Raw Data'!$B$5:$B$184&lt;DATE(2024,9,1))*('Raw Data'!$J$5:$J$184))</f>
        <v>1259.38</v>
      </c>
    </row>
    <row r="123" customFormat="false" ht="15" hidden="false" customHeight="true" outlineLevel="0" collapsed="false">
      <c r="A123" s="21" t="n">
        <v>6</v>
      </c>
      <c r="B123" s="21" t="s">
        <v>350</v>
      </c>
      <c r="C123" s="22" t="n">
        <f aca="false">SUMPRODUCT(('Raw Data'!$B$5:$B$184&gt;=DATE(2024,9,1))*('Raw Data'!$B$5:$B$184&lt;DATE(2024,10,1))*('Raw Data'!$J$5:$J$184))</f>
        <v>7782.26</v>
      </c>
    </row>
    <row r="124" customFormat="false" ht="15" hidden="false" customHeight="true" outlineLevel="0" collapsed="false">
      <c r="A124" s="21" t="n">
        <v>7</v>
      </c>
      <c r="B124" s="21" t="s">
        <v>351</v>
      </c>
      <c r="C124" s="22" t="n">
        <f aca="false">SUMPRODUCT(('Raw Data'!$B$5:$B$184&gt;=DATE(2024,10,1))*('Raw Data'!$B$5:$B$184&lt;DATE(2024,11,1))*('Raw Data'!$J$5:$J$184))</f>
        <v>1310.77</v>
      </c>
    </row>
    <row r="125" customFormat="false" ht="15" hidden="false" customHeight="true" outlineLevel="0" collapsed="false">
      <c r="A125" s="21" t="n">
        <v>8</v>
      </c>
      <c r="B125" s="21" t="s">
        <v>352</v>
      </c>
      <c r="C125" s="22" t="n">
        <f aca="false">SUMPRODUCT(('Raw Data'!$B$5:$B$184&gt;=DATE(2024,11,1))*('Raw Data'!$B$5:$B$184&lt;DATE(2024,12,1))*('Raw Data'!$J$5:$J$184))</f>
        <v>2953.06</v>
      </c>
    </row>
    <row r="126" customFormat="false" ht="15" hidden="false" customHeight="true" outlineLevel="0" collapsed="false">
      <c r="A126" s="21" t="n">
        <v>9</v>
      </c>
      <c r="B126" s="21" t="s">
        <v>353</v>
      </c>
      <c r="C126" s="22" t="n">
        <f aca="false">SUMPRODUCT(('Raw Data'!$B$5:$B$184&gt;=DATE(2024,12,1))*('Raw Data'!$B$5:$B$184&lt;DATE(2025,1,1))*('Raw Data'!$J$5:$J$184))</f>
        <v>3321.05</v>
      </c>
    </row>
    <row r="127" customFormat="false" ht="15" hidden="false" customHeight="true" outlineLevel="0" collapsed="false">
      <c r="A127" s="21" t="n">
        <v>10</v>
      </c>
      <c r="B127" s="21" t="s">
        <v>354</v>
      </c>
      <c r="C127" s="22" t="n">
        <f aca="false">SUMPRODUCT(('Raw Data'!$B$5:$B$184&gt;=DATE(2025,1,1))*('Raw Data'!$B$5:$B$184&lt;DATE(2025,2,1))*('Raw Data'!$J$5:$J$184))</f>
        <v>1899.68</v>
      </c>
    </row>
    <row r="128" customFormat="false" ht="15" hidden="false" customHeight="true" outlineLevel="0" collapsed="false">
      <c r="A128" s="21" t="n">
        <v>11</v>
      </c>
      <c r="B128" s="21" t="s">
        <v>355</v>
      </c>
      <c r="C128" s="22" t="n">
        <f aca="false">SUMPRODUCT(('Raw Data'!$B$5:$B$184&gt;=DATE(2025,2,1))*('Raw Data'!$B$5:$B$184&lt;DATE(2025,3,1))*('Raw Data'!$J$5:$J$184))</f>
        <v>760.7</v>
      </c>
    </row>
    <row r="129" customFormat="false" ht="15" hidden="false" customHeight="true" outlineLevel="0" collapsed="false">
      <c r="A129" s="21" t="n">
        <v>12</v>
      </c>
      <c r="B129" s="21" t="s">
        <v>356</v>
      </c>
      <c r="C129" s="22" t="n">
        <f aca="false">SUMPRODUCT(('Raw Data'!$B$5:$B$184&gt;=DATE(2025,3,1))*('Raw Data'!$B$5:$B$184&lt;DATE(2025,4,1))*('Raw Data'!$J$5:$J$184))</f>
        <v>1685.44</v>
      </c>
    </row>
    <row r="130" customFormat="false" ht="15" hidden="false" customHeight="true" outlineLevel="0" collapsed="false">
      <c r="A130" s="21" t="n">
        <v>13</v>
      </c>
      <c r="B130" s="21" t="s">
        <v>357</v>
      </c>
      <c r="C130" s="22" t="n">
        <f aca="false">SUMPRODUCT(('Raw Data'!$B$5:$B$184&gt;=DATE(2025,4,1))*('Raw Data'!$B$5:$B$184&lt;DATE(2025,5,1))*('Raw Data'!$J$5:$J$184))</f>
        <v>2973.92</v>
      </c>
    </row>
    <row r="131" customFormat="false" ht="15" hidden="false" customHeight="true" outlineLevel="0" collapsed="false">
      <c r="A131" s="21" t="n">
        <v>14</v>
      </c>
      <c r="B131" s="21" t="s">
        <v>358</v>
      </c>
      <c r="C131" s="22" t="n">
        <f aca="false">SUMPRODUCT(('Raw Data'!$B$5:$B$184&gt;=DATE(2025,5,1))*('Raw Data'!$B$5:$B$184&lt;DATE(2025,6,1))*('Raw Data'!$J$5:$J$184))</f>
        <v>6320.54</v>
      </c>
    </row>
    <row r="132" customFormat="false" ht="15" hidden="false" customHeight="true" outlineLevel="0" collapsed="false">
      <c r="A132" s="21" t="n">
        <v>15</v>
      </c>
      <c r="B132" s="21" t="s">
        <v>359</v>
      </c>
      <c r="C132" s="22" t="n">
        <f aca="false">SUMPRODUCT(('Raw Data'!$B$5:$B$184&gt;=DATE(2025,6,1))*('Raw Data'!$B$5:$B$184&lt;DATE(2025,7,1))*('Raw Data'!$J$5:$J$184))</f>
        <v>1382.67</v>
      </c>
    </row>
    <row r="133" customFormat="false" ht="15" hidden="false" customHeight="true" outlineLevel="0" collapsed="false">
      <c r="A133" s="21" t="n">
        <v>16</v>
      </c>
      <c r="B133" s="21" t="s">
        <v>360</v>
      </c>
      <c r="C133" s="22" t="n">
        <f aca="false">SUMPRODUCT(('Raw Data'!$B$5:$B$184&gt;=DATE(2025,7,1))*('Raw Data'!$B$5:$B$184&lt;DATE(2025,8,1))*('Raw Data'!$J$5:$J$184))</f>
        <v>2545.06</v>
      </c>
    </row>
    <row r="134" customFormat="false" ht="15" hidden="false" customHeight="true" outlineLevel="0" collapsed="false">
      <c r="A134" s="21" t="n">
        <v>17</v>
      </c>
      <c r="B134" s="21" t="s">
        <v>361</v>
      </c>
      <c r="C134" s="22" t="n">
        <f aca="false">SUMPRODUCT(('Raw Data'!$B$5:$B$184&gt;=DATE(2025,8,1))*('Raw Data'!$B$5:$B$184&lt;DATE(2025,9,1))*('Raw Data'!$J$5:$J$184))</f>
        <v>7461.07</v>
      </c>
    </row>
    <row r="135" customFormat="false" ht="15" hidden="false" customHeight="true" outlineLevel="0" collapsed="false">
      <c r="A135" s="21" t="n">
        <v>18</v>
      </c>
      <c r="B135" s="21" t="s">
        <v>362</v>
      </c>
      <c r="C135" s="22" t="n">
        <f aca="false">SUMPRODUCT(('Raw Data'!$B$5:$B$184&gt;=DATE(2025,9,1))*('Raw Data'!$B$5:$B$184&lt;DATE(2025,10,1))*('Raw Data'!$J$5:$J$184))</f>
        <v>1292.66</v>
      </c>
    </row>
    <row r="137" customFormat="false" ht="15" hidden="false" customHeight="true" outlineLevel="0" collapsed="false">
      <c r="A137" s="28" t="s">
        <v>363</v>
      </c>
    </row>
    <row r="140" customFormat="false" ht="17.25" hidden="false" customHeight="true" outlineLevel="0" collapsed="false">
      <c r="A140" s="13" t="s">
        <v>364</v>
      </c>
      <c r="B140" s="13"/>
      <c r="C140" s="13"/>
      <c r="D140" s="13"/>
      <c r="E140" s="13"/>
      <c r="F140" s="13"/>
    </row>
    <row r="141" customFormat="false" ht="15" hidden="false" customHeight="true" outlineLevel="0" collapsed="false">
      <c r="A141" s="10" t="s">
        <v>365</v>
      </c>
    </row>
    <row r="142" customFormat="false" ht="15" hidden="false" customHeight="true" outlineLevel="0" collapsed="false">
      <c r="A142" s="1" t="s">
        <v>366</v>
      </c>
      <c r="B142" s="30" t="n">
        <v>0.05</v>
      </c>
      <c r="C142" s="1" t="s">
        <v>367</v>
      </c>
    </row>
    <row r="143" customFormat="false" ht="15" hidden="false" customHeight="true" outlineLevel="0" collapsed="false">
      <c r="A143" s="1" t="s">
        <v>368</v>
      </c>
      <c r="B143" s="30" t="n">
        <v>-0.02</v>
      </c>
    </row>
    <row r="144" customFormat="false" ht="15" hidden="false" customHeight="true" outlineLevel="0" collapsed="false">
      <c r="A144" s="1" t="s">
        <v>369</v>
      </c>
      <c r="B144" s="31" t="n">
        <f aca="false">B16</f>
        <v>60776.1</v>
      </c>
    </row>
    <row r="145" customFormat="false" ht="15" hidden="false" customHeight="true" outlineLevel="0" collapsed="false">
      <c r="A145" s="1" t="s">
        <v>370</v>
      </c>
      <c r="B145" s="19" t="n">
        <f aca="false">B144*(1+B142)*(1+B143)</f>
        <v>62538.6069</v>
      </c>
    </row>
    <row r="147" customFormat="false" ht="15" hidden="false" customHeight="true" outlineLevel="0" collapsed="false">
      <c r="A147" s="10" t="s">
        <v>371</v>
      </c>
    </row>
    <row r="148" customFormat="false" ht="15" hidden="false" customHeight="true" outlineLevel="0" collapsed="false">
      <c r="A148" s="32" t="s">
        <v>372</v>
      </c>
    </row>
    <row r="149" customFormat="false" ht="15" hidden="false" customHeight="true" outlineLevel="0" collapsed="false">
      <c r="A149" s="28" t="s">
        <v>373</v>
      </c>
    </row>
    <row r="151" customFormat="false" ht="15" hidden="false" customHeight="true" outlineLevel="0" collapsed="false">
      <c r="A151" s="28" t="s">
        <v>374</v>
      </c>
    </row>
  </sheetData>
  <mergeCells count="13">
    <mergeCell ref="A1:L1"/>
    <mergeCell ref="A2:L2"/>
    <mergeCell ref="A4:D4"/>
    <mergeCell ref="A12:D12"/>
    <mergeCell ref="A15:F15"/>
    <mergeCell ref="A22:F22"/>
    <mergeCell ref="A41:F41"/>
    <mergeCell ref="A68:F68"/>
    <mergeCell ref="A85:F85"/>
    <mergeCell ref="A94:F94"/>
    <mergeCell ref="A104:F104"/>
    <mergeCell ref="A113:F113"/>
    <mergeCell ref="A140:F140"/>
  </mergeCells>
  <conditionalFormatting sqref="E24:E38">
    <cfRule type="expression" priority="2" aboveAverage="0" equalAverage="0" bottom="0" percent="0" rank="0" text="" dxfId="0">
      <formula>E24="★ HIGH VALUE"</formula>
    </cfRule>
  </conditionalFormatting>
  <conditionalFormatting sqref="C70:C79">
    <cfRule type="expression" priority="3" aboveAverage="0" equalAverage="0" bottom="0" percent="0" rank="0" text="" dxfId="1">
      <formula>C70="MATCH"</formula>
    </cfRule>
    <cfRule type="expression" priority="4" aboveAverage="0" equalAverage="0" bottom="0" percent="0" rank="0" text="" dxfId="2">
      <formula>C70="NO MATCH"</formula>
    </cfRule>
  </conditionalFormatting>
  <conditionalFormatting sqref="C106:C110">
    <cfRule type="iconSet" priority="5">
      <iconSet iconSet="3Arrows">
        <cfvo type="num" val="0"/>
        <cfvo type="num" val="0.9"/>
        <cfvo type="num" val="1.1"/>
      </iconSe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16"/>
    <col collapsed="false" customWidth="true" hidden="false" outlineLevel="0" max="3" min="3" style="1" width="14"/>
    <col collapsed="false" customWidth="true" hidden="false" outlineLevel="0" max="6" min="4" style="1" width="12"/>
  </cols>
  <sheetData>
    <row r="1" customFormat="false" ht="19.5" hidden="false" customHeight="true" outlineLevel="0" collapsed="false">
      <c r="A1" s="12" t="s">
        <v>375</v>
      </c>
      <c r="B1" s="12"/>
      <c r="C1" s="12"/>
      <c r="D1" s="12"/>
      <c r="E1" s="12"/>
      <c r="F1" s="12"/>
      <c r="G1" s="12"/>
      <c r="H1" s="12"/>
    </row>
    <row r="2" customFormat="false" ht="15" hidden="false" customHeight="true" outlineLevel="0" collapsed="false">
      <c r="A2" s="33" t="s">
        <v>376</v>
      </c>
    </row>
    <row r="4" customFormat="false" ht="17.25" hidden="false" customHeight="true" outlineLevel="0" collapsed="false">
      <c r="A4" s="34" t="s">
        <v>377</v>
      </c>
    </row>
    <row r="5" customFormat="false" ht="26.25" hidden="false" customHeight="true" outlineLevel="0" collapsed="false">
      <c r="A5" s="4" t="s">
        <v>10</v>
      </c>
      <c r="B5" s="4" t="s">
        <v>302</v>
      </c>
      <c r="C5" s="4" t="s">
        <v>378</v>
      </c>
      <c r="D5" s="4" t="s">
        <v>379</v>
      </c>
    </row>
    <row r="6" customFormat="false" ht="15" hidden="false" customHeight="true" outlineLevel="0" collapsed="false">
      <c r="A6" s="21" t="s">
        <v>28</v>
      </c>
      <c r="B6" s="22" t="n">
        <f aca="false">SUMIF('Raw Data'!$I$5:$I$184,A6,'Raw Data'!$J$5:$J$184)</f>
        <v>7706.37</v>
      </c>
      <c r="C6" s="23" t="n">
        <f aca="false">COUNTIF('Raw Data'!$I$5:$I$184,A6)</f>
        <v>39</v>
      </c>
      <c r="D6" s="35" t="n">
        <f aca="false">B6/SUM($B$6:$B$10)</f>
        <v>0.126799350402543</v>
      </c>
    </row>
    <row r="7" customFormat="false" ht="15" hidden="false" customHeight="true" outlineLevel="0" collapsed="false">
      <c r="A7" s="21" t="s">
        <v>35</v>
      </c>
      <c r="B7" s="22" t="n">
        <f aca="false">SUMIF('Raw Data'!$I$5:$I$184,A7,'Raw Data'!$J$5:$J$184)</f>
        <v>16680.97</v>
      </c>
      <c r="C7" s="23" t="n">
        <f aca="false">COUNTIF('Raw Data'!$I$5:$I$184,A7)</f>
        <v>37</v>
      </c>
      <c r="D7" s="35" t="n">
        <f aca="false">B7/SUM($B$6:$B$10)</f>
        <v>0.274465949608481</v>
      </c>
    </row>
    <row r="8" customFormat="false" ht="15" hidden="false" customHeight="true" outlineLevel="0" collapsed="false">
      <c r="A8" s="21" t="s">
        <v>17</v>
      </c>
      <c r="B8" s="22" t="n">
        <f aca="false">SUMIF('Raw Data'!$I$5:$I$184,A8,'Raw Data'!$J$5:$J$184)</f>
        <v>14821.2</v>
      </c>
      <c r="C8" s="23" t="n">
        <f aca="false">COUNTIF('Raw Data'!$I$5:$I$184,A8)</f>
        <v>29</v>
      </c>
      <c r="D8" s="35" t="n">
        <f aca="false">B8/SUM($B$6:$B$10)</f>
        <v>0.243865598483614</v>
      </c>
    </row>
    <row r="9" customFormat="false" ht="15" hidden="false" customHeight="true" outlineLevel="0" collapsed="false">
      <c r="A9" s="21" t="s">
        <v>41</v>
      </c>
      <c r="B9" s="22" t="n">
        <f aca="false">SUMIF('Raw Data'!$I$5:$I$184,A9,'Raw Data'!$J$5:$J$184)</f>
        <v>13893.73</v>
      </c>
      <c r="C9" s="23" t="n">
        <f aca="false">COUNTIF('Raw Data'!$I$5:$I$184,A9)</f>
        <v>46</v>
      </c>
      <c r="D9" s="35" t="n">
        <f aca="false">B9/SUM($B$6:$B$10)</f>
        <v>0.228605158935832</v>
      </c>
    </row>
    <row r="10" customFormat="false" ht="15" hidden="false" customHeight="true" outlineLevel="0" collapsed="false">
      <c r="A10" s="21" t="s">
        <v>22</v>
      </c>
      <c r="B10" s="22" t="n">
        <f aca="false">SUMIF('Raw Data'!$I$5:$I$184,A10,'Raw Data'!$J$5:$J$184)</f>
        <v>7673.83</v>
      </c>
      <c r="C10" s="23" t="n">
        <f aca="false">COUNTIF('Raw Data'!$I$5:$I$184,A10)</f>
        <v>29</v>
      </c>
      <c r="D10" s="35" t="n">
        <f aca="false">B10/SUM($B$6:$B$10)</f>
        <v>0.12626394256953</v>
      </c>
    </row>
    <row r="13" customFormat="false" ht="17.25" hidden="false" customHeight="true" outlineLevel="0" collapsed="false">
      <c r="A13" s="34" t="s">
        <v>380</v>
      </c>
    </row>
    <row r="14" customFormat="false" ht="15" hidden="false" customHeight="true" outlineLevel="0" collapsed="false">
      <c r="A14" s="25" t="s">
        <v>7</v>
      </c>
      <c r="B14" s="25" t="s">
        <v>302</v>
      </c>
      <c r="C14" s="25" t="s">
        <v>381</v>
      </c>
    </row>
    <row r="15" customFormat="false" ht="15" hidden="false" customHeight="true" outlineLevel="0" collapsed="false">
      <c r="A15" s="21" t="s">
        <v>61</v>
      </c>
      <c r="B15" s="22" t="n">
        <f aca="false">SUMIF('Raw Data'!$F$5:$F$184,A15,'Raw Data'!$J$5:$J$184)</f>
        <v>5540.22</v>
      </c>
      <c r="C15" s="23" t="n">
        <f aca="false">SUMIF('Raw Data'!$F$5:$F$184,A15,'Raw Data'!$G$5:$G$184)</f>
        <v>69</v>
      </c>
    </row>
    <row r="16" customFormat="false" ht="15" hidden="false" customHeight="true" outlineLevel="0" collapsed="false">
      <c r="A16" s="21" t="s">
        <v>46</v>
      </c>
      <c r="B16" s="22" t="n">
        <f aca="false">SUMIF('Raw Data'!$F$5:$F$184,A16,'Raw Data'!$J$5:$J$184)</f>
        <v>33391.08</v>
      </c>
      <c r="C16" s="23" t="n">
        <f aca="false">SUMIF('Raw Data'!$F$5:$F$184,A16,'Raw Data'!$G$5:$G$184)</f>
        <v>118</v>
      </c>
    </row>
    <row r="17" customFormat="false" ht="15" hidden="false" customHeight="true" outlineLevel="0" collapsed="false">
      <c r="A17" s="21" t="s">
        <v>40</v>
      </c>
      <c r="B17" s="22" t="n">
        <f aca="false">SUMIF('Raw Data'!$F$5:$F$184,A17,'Raw Data'!$J$5:$J$184)</f>
        <v>2386.56</v>
      </c>
      <c r="C17" s="23" t="n">
        <f aca="false">SUMIF('Raw Data'!$F$5:$F$184,A17,'Raw Data'!$G$5:$G$184)</f>
        <v>65</v>
      </c>
    </row>
    <row r="18" customFormat="false" ht="15" hidden="false" customHeight="true" outlineLevel="0" collapsed="false">
      <c r="A18" s="21" t="s">
        <v>16</v>
      </c>
      <c r="B18" s="22" t="n">
        <f aca="false">SUMIF('Raw Data'!$F$5:$F$184,A18,'Raw Data'!$J$5:$J$184)</f>
        <v>4253.75</v>
      </c>
      <c r="C18" s="23" t="n">
        <f aca="false">SUMIF('Raw Data'!$F$5:$F$184,A18,'Raw Data'!$G$5:$G$184)</f>
        <v>116</v>
      </c>
    </row>
    <row r="19" customFormat="false" ht="15" hidden="false" customHeight="true" outlineLevel="0" collapsed="false">
      <c r="A19" s="21" t="s">
        <v>27</v>
      </c>
      <c r="B19" s="22" t="n">
        <f aca="false">SUMIF('Raw Data'!$F$5:$F$184,A19,'Raw Data'!$J$5:$J$184)</f>
        <v>14091.71</v>
      </c>
      <c r="C19" s="23" t="n">
        <f aca="false">SUMIF('Raw Data'!$F$5:$F$184,A19,'Raw Data'!$G$5:$G$184)</f>
        <v>60</v>
      </c>
    </row>
    <row r="20" customFormat="false" ht="15" hidden="false" customHeight="true" outlineLevel="0" collapsed="false">
      <c r="A20" s="21" t="s">
        <v>52</v>
      </c>
      <c r="B20" s="22" t="n">
        <f aca="false">SUMIF('Raw Data'!$F$5:$F$184,A20,'Raw Data'!$J$5:$J$184)</f>
        <v>1112.78</v>
      </c>
      <c r="C20" s="23" t="n">
        <f aca="false">SUMIF('Raw Data'!$F$5:$F$184,A20,'Raw Data'!$G$5:$G$184)</f>
        <v>114</v>
      </c>
    </row>
    <row r="24" customFormat="false" ht="17.25" hidden="false" customHeight="true" outlineLevel="0" collapsed="false">
      <c r="A24" s="34" t="s">
        <v>382</v>
      </c>
    </row>
    <row r="25" customFormat="false" ht="15" hidden="false" customHeight="true" outlineLevel="0" collapsed="false">
      <c r="A25" s="25" t="s">
        <v>383</v>
      </c>
      <c r="B25" s="25" t="s">
        <v>11</v>
      </c>
    </row>
    <row r="26" customFormat="false" ht="15" hidden="false" customHeight="true" outlineLevel="0" collapsed="false">
      <c r="A26" s="21" t="s">
        <v>345</v>
      </c>
      <c r="B26" s="22" t="n">
        <f aca="false">SUMPRODUCT(('Raw Data'!$B$5:$B$184&gt;=DATE(2024,4,1))*('Raw Data'!$B$5:$B$184&lt;DATE(2024,5,1))*('Raw Data'!$J$5:$J$184))</f>
        <v>964.35</v>
      </c>
    </row>
    <row r="27" customFormat="false" ht="15" hidden="false" customHeight="true" outlineLevel="0" collapsed="false">
      <c r="A27" s="21" t="s">
        <v>346</v>
      </c>
      <c r="B27" s="22" t="n">
        <f aca="false">SUMPRODUCT(('Raw Data'!$B$5:$B$184&gt;=DATE(2024,5,1))*('Raw Data'!$B$5:$B$184&lt;DATE(2024,6,1))*('Raw Data'!$J$5:$J$184))</f>
        <v>3565.91</v>
      </c>
    </row>
    <row r="28" customFormat="false" ht="15" hidden="false" customHeight="true" outlineLevel="0" collapsed="false">
      <c r="A28" s="21" t="s">
        <v>347</v>
      </c>
      <c r="B28" s="22" t="n">
        <f aca="false">SUMPRODUCT(('Raw Data'!$B$5:$B$184&gt;=DATE(2024,6,1))*('Raw Data'!$B$5:$B$184&lt;DATE(2024,7,1))*('Raw Data'!$J$5:$J$184))</f>
        <v>4299.53</v>
      </c>
    </row>
    <row r="29" customFormat="false" ht="15" hidden="false" customHeight="true" outlineLevel="0" collapsed="false">
      <c r="A29" s="21" t="s">
        <v>348</v>
      </c>
      <c r="B29" s="22" t="n">
        <f aca="false">SUMPRODUCT(('Raw Data'!$B$5:$B$184&gt;=DATE(2024,7,1))*('Raw Data'!$B$5:$B$184&lt;DATE(2024,8,1))*('Raw Data'!$J$5:$J$184))</f>
        <v>8998.05</v>
      </c>
    </row>
    <row r="30" customFormat="false" ht="15" hidden="false" customHeight="true" outlineLevel="0" collapsed="false">
      <c r="A30" s="21" t="s">
        <v>349</v>
      </c>
      <c r="B30" s="22" t="n">
        <f aca="false">SUMPRODUCT(('Raw Data'!$B$5:$B$184&gt;=DATE(2024,8,1))*('Raw Data'!$B$5:$B$184&lt;DATE(2024,9,1))*('Raw Data'!$J$5:$J$184))</f>
        <v>1259.38</v>
      </c>
    </row>
    <row r="31" customFormat="false" ht="15" hidden="false" customHeight="true" outlineLevel="0" collapsed="false">
      <c r="A31" s="21" t="s">
        <v>350</v>
      </c>
      <c r="B31" s="22" t="n">
        <f aca="false">SUMPRODUCT(('Raw Data'!$B$5:$B$184&gt;=DATE(2024,9,1))*('Raw Data'!$B$5:$B$184&lt;DATE(2024,10,1))*('Raw Data'!$J$5:$J$184))</f>
        <v>7782.26</v>
      </c>
    </row>
    <row r="32" customFormat="false" ht="15" hidden="false" customHeight="true" outlineLevel="0" collapsed="false">
      <c r="A32" s="21" t="s">
        <v>351</v>
      </c>
      <c r="B32" s="22" t="n">
        <f aca="false">SUMPRODUCT(('Raw Data'!$B$5:$B$184&gt;=DATE(2024,10,1))*('Raw Data'!$B$5:$B$184&lt;DATE(2024,11,1))*('Raw Data'!$J$5:$J$184))</f>
        <v>1310.77</v>
      </c>
    </row>
    <row r="33" customFormat="false" ht="15" hidden="false" customHeight="true" outlineLevel="0" collapsed="false">
      <c r="A33" s="21" t="s">
        <v>352</v>
      </c>
      <c r="B33" s="22" t="n">
        <f aca="false">SUMPRODUCT(('Raw Data'!$B$5:$B$184&gt;=DATE(2024,11,1))*('Raw Data'!$B$5:$B$184&lt;DATE(2024,12,1))*('Raw Data'!$J$5:$J$184))</f>
        <v>2953.06</v>
      </c>
    </row>
    <row r="34" customFormat="false" ht="15" hidden="false" customHeight="true" outlineLevel="0" collapsed="false">
      <c r="A34" s="21" t="s">
        <v>353</v>
      </c>
      <c r="B34" s="22" t="n">
        <f aca="false">SUMPRODUCT(('Raw Data'!$B$5:$B$184&gt;=DATE(2024,12,1))*('Raw Data'!$B$5:$B$184&lt;DATE(2025,1,1))*('Raw Data'!$J$5:$J$184))</f>
        <v>3321.05</v>
      </c>
    </row>
    <row r="35" customFormat="false" ht="15" hidden="false" customHeight="true" outlineLevel="0" collapsed="false">
      <c r="A35" s="21" t="s">
        <v>354</v>
      </c>
      <c r="B35" s="22" t="n">
        <f aca="false">SUMPRODUCT(('Raw Data'!$B$5:$B$184&gt;=DATE(2025,1,1))*('Raw Data'!$B$5:$B$184&lt;DATE(2025,2,1))*('Raw Data'!$J$5:$J$184))</f>
        <v>1899.68</v>
      </c>
    </row>
    <row r="36" customFormat="false" ht="15" hidden="false" customHeight="true" outlineLevel="0" collapsed="false">
      <c r="A36" s="21" t="s">
        <v>355</v>
      </c>
      <c r="B36" s="22" t="n">
        <f aca="false">SUMPRODUCT(('Raw Data'!$B$5:$B$184&gt;=DATE(2025,2,1))*('Raw Data'!$B$5:$B$184&lt;DATE(2025,3,1))*('Raw Data'!$J$5:$J$184))</f>
        <v>760.7</v>
      </c>
    </row>
    <row r="37" customFormat="false" ht="15" hidden="false" customHeight="true" outlineLevel="0" collapsed="false">
      <c r="A37" s="21" t="s">
        <v>356</v>
      </c>
      <c r="B37" s="22" t="n">
        <f aca="false">SUMPRODUCT(('Raw Data'!$B$5:$B$184&gt;=DATE(2025,3,1))*('Raw Data'!$B$5:$B$184&lt;DATE(2025,4,1))*('Raw Data'!$J$5:$J$184))</f>
        <v>1685.44</v>
      </c>
    </row>
    <row r="38" customFormat="false" ht="15" hidden="false" customHeight="true" outlineLevel="0" collapsed="false">
      <c r="A38" s="21" t="s">
        <v>357</v>
      </c>
      <c r="B38" s="22" t="n">
        <f aca="false">SUMPRODUCT(('Raw Data'!$B$5:$B$184&gt;=DATE(2025,4,1))*('Raw Data'!$B$5:$B$184&lt;DATE(2025,5,1))*('Raw Data'!$J$5:$J$184))</f>
        <v>2973.92</v>
      </c>
    </row>
    <row r="39" customFormat="false" ht="15" hidden="false" customHeight="true" outlineLevel="0" collapsed="false">
      <c r="A39" s="21" t="s">
        <v>358</v>
      </c>
      <c r="B39" s="22" t="n">
        <f aca="false">SUMPRODUCT(('Raw Data'!$B$5:$B$184&gt;=DATE(2025,5,1))*('Raw Data'!$B$5:$B$184&lt;DATE(2025,6,1))*('Raw Data'!$J$5:$J$184))</f>
        <v>6320.54</v>
      </c>
    </row>
    <row r="40" customFormat="false" ht="15" hidden="false" customHeight="true" outlineLevel="0" collapsed="false">
      <c r="A40" s="21" t="s">
        <v>359</v>
      </c>
      <c r="B40" s="22" t="n">
        <f aca="false">SUMPRODUCT(('Raw Data'!$B$5:$B$184&gt;=DATE(2025,6,1))*('Raw Data'!$B$5:$B$184&lt;DATE(2025,7,1))*('Raw Data'!$J$5:$J$184))</f>
        <v>1382.67</v>
      </c>
    </row>
    <row r="41" customFormat="false" ht="15" hidden="false" customHeight="true" outlineLevel="0" collapsed="false">
      <c r="A41" s="21" t="s">
        <v>360</v>
      </c>
      <c r="B41" s="22" t="n">
        <f aca="false">SUMPRODUCT(('Raw Data'!$B$5:$B$184&gt;=DATE(2025,7,1))*('Raw Data'!$B$5:$B$184&lt;DATE(2025,8,1))*('Raw Data'!$J$5:$J$184))</f>
        <v>2545.06</v>
      </c>
    </row>
    <row r="42" customFormat="false" ht="15" hidden="false" customHeight="true" outlineLevel="0" collapsed="false">
      <c r="A42" s="21" t="s">
        <v>361</v>
      </c>
      <c r="B42" s="22" t="n">
        <f aca="false">SUMPRODUCT(('Raw Data'!$B$5:$B$184&gt;=DATE(2025,8,1))*('Raw Data'!$B$5:$B$184&lt;DATE(2025,9,1))*('Raw Data'!$J$5:$J$184))</f>
        <v>7461.07</v>
      </c>
    </row>
    <row r="43" customFormat="false" ht="15" hidden="false" customHeight="true" outlineLevel="0" collapsed="false">
      <c r="A43" s="21" t="s">
        <v>362</v>
      </c>
      <c r="B43" s="22" t="n">
        <f aca="false">SUMPRODUCT(('Raw Data'!$B$5:$B$184&gt;=DATE(2025,9,1))*('Raw Data'!$B$5:$B$184&lt;DATE(2025,10,1))*('Raw Data'!$J$5:$J$184))</f>
        <v>1292.66</v>
      </c>
    </row>
    <row r="46" customFormat="false" ht="17.25" hidden="false" customHeight="true" outlineLevel="0" collapsed="false">
      <c r="A46" s="34" t="s">
        <v>384</v>
      </c>
    </row>
    <row r="47" customFormat="false" ht="15" hidden="false" customHeight="true" outlineLevel="0" collapsed="false">
      <c r="A47" s="25" t="s">
        <v>311</v>
      </c>
      <c r="B47" s="25" t="s">
        <v>385</v>
      </c>
      <c r="C47" s="25" t="s">
        <v>310</v>
      </c>
    </row>
    <row r="48" customFormat="false" ht="15" hidden="false" customHeight="true" outlineLevel="0" collapsed="false">
      <c r="A48" s="21" t="n">
        <v>1</v>
      </c>
      <c r="B48" s="21" t="s">
        <v>135</v>
      </c>
      <c r="C48" s="22" t="n">
        <f aca="false">SUMIF('Raw Data'!$D$5:$D$184,B48,'Raw Data'!$J$5:$J$184)</f>
        <v>655.16</v>
      </c>
    </row>
    <row r="49" customFormat="false" ht="15" hidden="false" customHeight="true" outlineLevel="0" collapsed="false">
      <c r="A49" s="21" t="n">
        <v>2</v>
      </c>
      <c r="B49" s="21" t="s">
        <v>79</v>
      </c>
      <c r="C49" s="22" t="n">
        <f aca="false">SUMIF('Raw Data'!$D$5:$D$184,B49,'Raw Data'!$J$5:$J$184)</f>
        <v>2126.41</v>
      </c>
    </row>
    <row r="50" customFormat="false" ht="15" hidden="false" customHeight="true" outlineLevel="0" collapsed="false">
      <c r="A50" s="21" t="n">
        <v>3</v>
      </c>
      <c r="B50" s="21" t="s">
        <v>64</v>
      </c>
      <c r="C50" s="22" t="n">
        <f aca="false">SUMIF('Raw Data'!$D$5:$D$184,B50,'Raw Data'!$J$5:$J$184)</f>
        <v>3371.3</v>
      </c>
    </row>
    <row r="51" customFormat="false" ht="15" hidden="false" customHeight="true" outlineLevel="0" collapsed="false">
      <c r="A51" s="21" t="n">
        <v>4</v>
      </c>
      <c r="B51" s="21" t="s">
        <v>192</v>
      </c>
      <c r="C51" s="22" t="n">
        <f aca="false">SUMIF('Raw Data'!$D$5:$D$184,B51,'Raw Data'!$J$5:$J$184)</f>
        <v>1919.29</v>
      </c>
    </row>
    <row r="52" customFormat="false" ht="15" hidden="false" customHeight="true" outlineLevel="0" collapsed="false">
      <c r="A52" s="21" t="n">
        <v>5</v>
      </c>
      <c r="B52" s="21" t="s">
        <v>85</v>
      </c>
      <c r="C52" s="22" t="n">
        <f aca="false">SUMIF('Raw Data'!$D$5:$D$184,B52,'Raw Data'!$J$5:$J$184)</f>
        <v>2028.12</v>
      </c>
    </row>
    <row r="53" customFormat="false" ht="15" hidden="false" customHeight="true" outlineLevel="0" collapsed="false">
      <c r="A53" s="21" t="n">
        <v>6</v>
      </c>
      <c r="B53" s="21" t="s">
        <v>20</v>
      </c>
      <c r="C53" s="22" t="n">
        <f aca="false">SUMIF('Raw Data'!$D$5:$D$184,B53,'Raw Data'!$J$5:$J$184)</f>
        <v>535.13</v>
      </c>
    </row>
    <row r="54" customFormat="false" ht="15" hidden="false" customHeight="true" outlineLevel="0" collapsed="false">
      <c r="A54" s="21" t="n">
        <v>7</v>
      </c>
      <c r="B54" s="21" t="s">
        <v>111</v>
      </c>
      <c r="C54" s="22" t="n">
        <f aca="false">SUMIF('Raw Data'!$D$5:$D$184,B54,'Raw Data'!$J$5:$J$184)</f>
        <v>685.78</v>
      </c>
    </row>
    <row r="55" customFormat="false" ht="15" hidden="false" customHeight="true" outlineLevel="0" collapsed="false">
      <c r="A55" s="21" t="n">
        <v>8</v>
      </c>
      <c r="B55" s="21" t="s">
        <v>130</v>
      </c>
      <c r="C55" s="22" t="n">
        <f aca="false">SUMIF('Raw Data'!$D$5:$D$184,B55,'Raw Data'!$J$5:$J$184)</f>
        <v>1710.22</v>
      </c>
    </row>
    <row r="56" customFormat="false" ht="15" hidden="false" customHeight="true" outlineLevel="0" collapsed="false">
      <c r="A56" s="21" t="n">
        <v>9</v>
      </c>
      <c r="B56" s="21" t="s">
        <v>34</v>
      </c>
      <c r="C56" s="22" t="n">
        <f aca="false">SUMIF('Raw Data'!$D$5:$D$184,B56,'Raw Data'!$J$5:$J$184)</f>
        <v>1005.58</v>
      </c>
    </row>
    <row r="57" customFormat="false" ht="15" hidden="false" customHeight="true" outlineLevel="0" collapsed="false">
      <c r="A57" s="21" t="n">
        <v>10</v>
      </c>
      <c r="B57" s="21" t="s">
        <v>59</v>
      </c>
      <c r="C57" s="22" t="n">
        <f aca="false">SUMIF('Raw Data'!$D$5:$D$184,B57,'Raw Data'!$J$5:$J$184)</f>
        <v>916.38</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2" min="2" style="1" width="18"/>
    <col collapsed="false" customWidth="true" hidden="false" outlineLevel="0" max="5" min="3" style="1" width="12"/>
    <col collapsed="false" customWidth="true" hidden="false" outlineLevel="0" max="6" min="6" style="1" width="18"/>
    <col collapsed="false" customWidth="true" hidden="false" outlineLevel="0" max="14" min="7" style="1" width="12"/>
  </cols>
  <sheetData>
    <row r="1" customFormat="false" ht="30" hidden="false" customHeight="true" outlineLevel="0" collapsed="false">
      <c r="A1" s="36" t="s">
        <v>386</v>
      </c>
      <c r="B1" s="36"/>
      <c r="C1" s="36"/>
      <c r="D1" s="36"/>
      <c r="E1" s="36"/>
      <c r="F1" s="36"/>
      <c r="G1" s="36"/>
      <c r="H1" s="36"/>
      <c r="I1" s="36"/>
      <c r="J1" s="36"/>
      <c r="K1" s="36"/>
      <c r="L1" s="36"/>
      <c r="M1" s="36"/>
      <c r="N1" s="36"/>
    </row>
    <row r="2" customFormat="false" ht="15" hidden="false" customHeight="true" outlineLevel="0" collapsed="false">
      <c r="A2" s="37" t="str">
        <f aca="true">CONCATENATE("Report generated: ", TEXT(NOW(), "YYYY-MM-DD HH:MM"), "  |  Data period: Apr 2024 – Sep 2025  |  PR Final Project")</f>
        <v>Report generated: 2026-10-14 09:52  |  Data period: Apr 2024 – Sep 2025  |  PR Final Project</v>
      </c>
      <c r="B2" s="37"/>
      <c r="C2" s="37"/>
      <c r="D2" s="37"/>
      <c r="E2" s="37"/>
      <c r="F2" s="37"/>
      <c r="G2" s="37"/>
      <c r="H2" s="37"/>
      <c r="I2" s="37"/>
      <c r="J2" s="37"/>
      <c r="K2" s="37"/>
      <c r="L2" s="37"/>
      <c r="M2" s="37"/>
      <c r="N2" s="37"/>
    </row>
    <row r="4" customFormat="false" ht="15" hidden="false" customHeight="true" outlineLevel="0" collapsed="false">
      <c r="A4" s="38" t="s">
        <v>387</v>
      </c>
      <c r="B4" s="38"/>
      <c r="D4" s="39" t="s">
        <v>388</v>
      </c>
      <c r="E4" s="39"/>
      <c r="G4" s="40" t="s">
        <v>389</v>
      </c>
      <c r="H4" s="40"/>
      <c r="J4" s="41" t="s">
        <v>390</v>
      </c>
      <c r="K4" s="41"/>
    </row>
    <row r="5" customFormat="false" ht="27.75" hidden="false" customHeight="true" outlineLevel="0" collapsed="false">
      <c r="A5" s="42" t="n">
        <f aca="false">SUM('Raw Data'!J5:J184)</f>
        <v>60776.1</v>
      </c>
      <c r="B5" s="42"/>
      <c r="D5" s="43" t="n">
        <f aca="false">COUNTA('Raw Data'!A5:A184)</f>
        <v>180</v>
      </c>
      <c r="E5" s="43"/>
      <c r="G5" s="44" t="n">
        <f aca="false">AVERAGE('Raw Data'!J5:J184)</f>
        <v>337.645</v>
      </c>
      <c r="H5" s="44"/>
      <c r="J5" s="45" t="n">
        <f aca="false">SUMPRODUCT(1/COUNTIF('Raw Data'!C5:C184,'Raw Data'!C5:C184))</f>
        <v>30</v>
      </c>
      <c r="K5" s="45"/>
    </row>
    <row r="7" customFormat="false" ht="15" hidden="false" customHeight="true" outlineLevel="0" collapsed="false">
      <c r="A7" s="46" t="s">
        <v>391</v>
      </c>
    </row>
    <row r="9" customFormat="false" ht="17.25" hidden="false" customHeight="true" outlineLevel="0" collapsed="false">
      <c r="A9" s="13" t="s">
        <v>392</v>
      </c>
      <c r="B9" s="13"/>
      <c r="C9" s="13"/>
      <c r="D9" s="13"/>
      <c r="E9" s="13"/>
      <c r="F9" s="13"/>
    </row>
    <row r="10" customFormat="false" ht="15" hidden="false" customHeight="true" outlineLevel="0" collapsed="false">
      <c r="A10" s="1" t="s">
        <v>393</v>
      </c>
      <c r="B10" s="47" t="str">
        <f aca="false">Analysis!B64</f>
        <v>Water Bottle Insulated</v>
      </c>
    </row>
    <row r="11" customFormat="false" ht="15" hidden="false" customHeight="true" outlineLevel="0" collapsed="false">
      <c r="A11" s="1" t="s">
        <v>394</v>
      </c>
      <c r="B11" s="47" t="str">
        <f aca="false">Analysis!B65</f>
        <v>Laptop Pro 15</v>
      </c>
    </row>
    <row r="12" customFormat="false" ht="15" hidden="false" customHeight="true" outlineLevel="0" collapsed="false">
      <c r="A12" s="1" t="s">
        <v>395</v>
      </c>
      <c r="B12" s="47" t="str">
        <f aca="false">INDEX(Visualizations!A6:A10,MATCH(MAX(Visualizations!B6:B10),Visualizations!B6:B10,0))</f>
        <v>South</v>
      </c>
    </row>
    <row r="13" customFormat="false" ht="15" hidden="false" customHeight="true" outlineLevel="0" collapsed="false">
      <c r="A13" s="1" t="s">
        <v>396</v>
      </c>
      <c r="B13" s="47" t="str">
        <f aca="false">INDEX(Visualizations!B48:B57,MATCH(MAX(Visualizations!C48:C57),Visualizations!C48:C57,0))</f>
        <v>Carol Williams</v>
      </c>
    </row>
    <row r="15" customFormat="false" ht="15" hidden="false" customHeight="true" outlineLevel="0" collapsed="false">
      <c r="A15" s="10" t="s">
        <v>397</v>
      </c>
      <c r="F15" s="17" t="s">
        <v>398</v>
      </c>
      <c r="G15" s="17"/>
      <c r="H15" s="17"/>
      <c r="I15" s="17"/>
    </row>
    <row r="16" customFormat="false" ht="15" hidden="false" customHeight="true" outlineLevel="0" collapsed="false">
      <c r="A16" s="4" t="s">
        <v>10</v>
      </c>
      <c r="B16" s="4" t="s">
        <v>11</v>
      </c>
      <c r="C16" s="4" t="s">
        <v>399</v>
      </c>
      <c r="D16" s="4" t="s">
        <v>400</v>
      </c>
      <c r="F16" s="25" t="s">
        <v>385</v>
      </c>
      <c r="G16" s="25" t="s">
        <v>310</v>
      </c>
      <c r="H16" s="25" t="s">
        <v>311</v>
      </c>
    </row>
    <row r="17" customFormat="false" ht="15" hidden="false" customHeight="true" outlineLevel="0" collapsed="false">
      <c r="A17" s="48" t="str">
        <f aca="false">Visualizations!A6</f>
        <v>North</v>
      </c>
      <c r="B17" s="49" t="n">
        <f aca="false">Visualizations!B6</f>
        <v>7706.37</v>
      </c>
      <c r="C17" s="50" t="n">
        <f aca="false">Visualizations!D6</f>
        <v>0.126799350402543</v>
      </c>
      <c r="D17" s="23" t="str">
        <f aca="false">IF(C17&gt;=0.22,"▲ Strong",IF(C17&gt;=0.18,"● Average","▼ Below"))</f>
        <v>▼ Below</v>
      </c>
      <c r="F17" s="51" t="str">
        <f aca="false">INDEX(Analysis!B24:B38,MATCH(1,Analysis!D24:D38,0))</f>
        <v>Karen Thomas</v>
      </c>
      <c r="G17" s="52" t="n">
        <f aca="false">INDEX(Analysis!C24:C38,MATCH(1,Analysis!D24:D38,0))</f>
        <v>5090.86</v>
      </c>
      <c r="H17" s="53" t="n">
        <v>1</v>
      </c>
    </row>
    <row r="18" customFormat="false" ht="15" hidden="false" customHeight="true" outlineLevel="0" collapsed="false">
      <c r="A18" s="48" t="str">
        <f aca="false">Visualizations!A7</f>
        <v>South</v>
      </c>
      <c r="B18" s="49" t="n">
        <f aca="false">Visualizations!B7</f>
        <v>16680.97</v>
      </c>
      <c r="C18" s="50" t="n">
        <f aca="false">Visualizations!D7</f>
        <v>0.274465949608481</v>
      </c>
      <c r="D18" s="23" t="str">
        <f aca="false">IF(C18&gt;=0.22,"▲ Strong",IF(C18&gt;=0.18,"● Average","▼ Below"))</f>
        <v>▲ Strong</v>
      </c>
      <c r="F18" s="51" t="str">
        <f aca="false">INDEX(Analysis!B24:B38,MATCH(2,Analysis!D24:D38,0))</f>
        <v>Carol Williams</v>
      </c>
      <c r="G18" s="52" t="n">
        <f aca="false">INDEX(Analysis!C24:C38,MATCH(2,Analysis!D24:D38,0))</f>
        <v>3371.3</v>
      </c>
      <c r="H18" s="53" t="n">
        <v>2</v>
      </c>
    </row>
    <row r="19" customFormat="false" ht="15" hidden="false" customHeight="true" outlineLevel="0" collapsed="false">
      <c r="A19" s="48" t="str">
        <f aca="false">Visualizations!A8</f>
        <v>East</v>
      </c>
      <c r="B19" s="49" t="n">
        <f aca="false">Visualizations!B8</f>
        <v>14821.2</v>
      </c>
      <c r="C19" s="50" t="n">
        <f aca="false">Visualizations!D8</f>
        <v>0.243865598483614</v>
      </c>
      <c r="D19" s="23" t="str">
        <f aca="false">IF(C19&gt;=0.22,"▲ Strong",IF(C19&gt;=0.18,"● Average","▼ Below"))</f>
        <v>▲ Strong</v>
      </c>
      <c r="F19" s="51" t="str">
        <f aca="false">INDEX(Analysis!B24:B38,MATCH(3,Analysis!D24:D38,0))</f>
        <v>Bob Smith</v>
      </c>
      <c r="G19" s="52" t="n">
        <f aca="false">INDEX(Analysis!C24:C38,MATCH(3,Analysis!D24:D38,0))</f>
        <v>2126.41</v>
      </c>
      <c r="H19" s="53" t="n">
        <v>3</v>
      </c>
    </row>
    <row r="20" customFormat="false" ht="15" hidden="false" customHeight="true" outlineLevel="0" collapsed="false">
      <c r="A20" s="48" t="str">
        <f aca="false">Visualizations!A9</f>
        <v>West</v>
      </c>
      <c r="B20" s="49" t="n">
        <f aca="false">Visualizations!B9</f>
        <v>13893.73</v>
      </c>
      <c r="C20" s="50" t="n">
        <f aca="false">Visualizations!D9</f>
        <v>0.228605158935832</v>
      </c>
      <c r="D20" s="23" t="str">
        <f aca="false">IF(C20&gt;=0.22,"▲ Strong",IF(C20&gt;=0.18,"● Average","▼ Below"))</f>
        <v>▲ Strong</v>
      </c>
      <c r="F20" s="51" t="str">
        <f aca="false">INDEX(Analysis!B24:B38,MATCH(4,Analysis!D24:D38,0))</f>
        <v>Emma Davis</v>
      </c>
      <c r="G20" s="52" t="n">
        <f aca="false">INDEX(Analysis!C24:C38,MATCH(4,Analysis!D24:D38,0))</f>
        <v>2028.12</v>
      </c>
      <c r="H20" s="53" t="n">
        <v>4</v>
      </c>
    </row>
    <row r="21" customFormat="false" ht="15" hidden="false" customHeight="true" outlineLevel="0" collapsed="false">
      <c r="A21" s="48" t="str">
        <f aca="false">Visualizations!A10</f>
        <v>Central</v>
      </c>
      <c r="B21" s="49" t="n">
        <f aca="false">Visualizations!B10</f>
        <v>7673.83</v>
      </c>
      <c r="C21" s="50" t="n">
        <f aca="false">Visualizations!D10</f>
        <v>0.12626394256953</v>
      </c>
      <c r="D21" s="23" t="str">
        <f aca="false">IF(C21&gt;=0.22,"▲ Strong",IF(C21&gt;=0.18,"● Average","▼ Below"))</f>
        <v>▼ Below</v>
      </c>
      <c r="F21" s="51" t="str">
        <f aca="false">INDEX(Analysis!B24:B38,MATCH(5,Analysis!D24:D38,0))</f>
        <v>David Brown</v>
      </c>
      <c r="G21" s="52" t="n">
        <f aca="false">INDEX(Analysis!C24:C38,MATCH(5,Analysis!D24:D38,0))</f>
        <v>1919.29</v>
      </c>
      <c r="H21" s="53" t="n">
        <v>5</v>
      </c>
    </row>
    <row r="24" customFormat="false" ht="15" hidden="false" customHeight="true" outlineLevel="0" collapsed="false">
      <c r="A24" s="10" t="s">
        <v>401</v>
      </c>
    </row>
    <row r="25" customFormat="false" ht="15" hidden="false" customHeight="true" outlineLevel="0" collapsed="false">
      <c r="A25" s="25" t="s">
        <v>7</v>
      </c>
      <c r="B25" s="25" t="s">
        <v>11</v>
      </c>
      <c r="C25" s="25" t="s">
        <v>402</v>
      </c>
    </row>
    <row r="26" customFormat="false" ht="15" hidden="false" customHeight="true" outlineLevel="0" collapsed="false">
      <c r="A26" s="48" t="str">
        <f aca="false">Visualizations!A15</f>
        <v>Appliances</v>
      </c>
      <c r="B26" s="49" t="n">
        <f aca="false">Visualizations!B15</f>
        <v>5540.22</v>
      </c>
      <c r="C26" s="48" t="n">
        <f aca="false">Visualizations!C15</f>
        <v>69</v>
      </c>
    </row>
    <row r="27" customFormat="false" ht="15" hidden="false" customHeight="true" outlineLevel="0" collapsed="false">
      <c r="A27" s="48" t="str">
        <f aca="false">Visualizations!A16</f>
        <v>Electronics</v>
      </c>
      <c r="B27" s="49" t="n">
        <f aca="false">Visualizations!B16</f>
        <v>33391.08</v>
      </c>
      <c r="C27" s="48" t="n">
        <f aca="false">Visualizations!C16</f>
        <v>118</v>
      </c>
    </row>
    <row r="28" customFormat="false" ht="15" hidden="false" customHeight="true" outlineLevel="0" collapsed="false">
      <c r="A28" s="48" t="str">
        <f aca="false">Visualizations!A17</f>
        <v>Accessories</v>
      </c>
      <c r="B28" s="49" t="n">
        <f aca="false">Visualizations!B17</f>
        <v>2386.56</v>
      </c>
      <c r="C28" s="48" t="n">
        <f aca="false">Visualizations!C17</f>
        <v>65</v>
      </c>
    </row>
    <row r="29" customFormat="false" ht="15" hidden="false" customHeight="true" outlineLevel="0" collapsed="false">
      <c r="A29" s="48" t="str">
        <f aca="false">Visualizations!A18</f>
        <v>Fitness</v>
      </c>
      <c r="B29" s="49" t="n">
        <f aca="false">Visualizations!B18</f>
        <v>4253.75</v>
      </c>
      <c r="C29" s="48" t="n">
        <f aca="false">Visualizations!C18</f>
        <v>116</v>
      </c>
    </row>
    <row r="30" customFormat="false" ht="15" hidden="false" customHeight="true" outlineLevel="0" collapsed="false">
      <c r="A30" s="48" t="str">
        <f aca="false">Visualizations!A19</f>
        <v>Furniture</v>
      </c>
      <c r="B30" s="49" t="n">
        <f aca="false">Visualizations!B19</f>
        <v>14091.71</v>
      </c>
      <c r="C30" s="48" t="n">
        <f aca="false">Visualizations!C19</f>
        <v>60</v>
      </c>
    </row>
    <row r="31" customFormat="false" ht="15" hidden="false" customHeight="true" outlineLevel="0" collapsed="false">
      <c r="A31" s="48" t="str">
        <f aca="false">Visualizations!A20</f>
        <v>Stationery</v>
      </c>
      <c r="B31" s="49" t="n">
        <f aca="false">Visualizations!B20</f>
        <v>1112.78</v>
      </c>
      <c r="C31" s="48" t="n">
        <f aca="false">Visualizations!C20</f>
        <v>114</v>
      </c>
    </row>
    <row r="35" customFormat="false" ht="17.25" hidden="false" customHeight="true" outlineLevel="0" collapsed="false">
      <c r="A35" s="13" t="s">
        <v>403</v>
      </c>
      <c r="B35" s="13"/>
      <c r="C35" s="13"/>
      <c r="D35" s="13"/>
      <c r="E35" s="13"/>
      <c r="F35" s="13"/>
      <c r="G35" s="13"/>
      <c r="H35" s="13"/>
      <c r="I35" s="13"/>
      <c r="J35" s="13"/>
      <c r="K35" s="13"/>
      <c r="L35" s="13"/>
    </row>
    <row r="36" customFormat="false" ht="15" hidden="false" customHeight="true" outlineLevel="0" collapsed="false">
      <c r="A36" s="54" t="s">
        <v>404</v>
      </c>
      <c r="B36" s="54"/>
      <c r="C36" s="54"/>
      <c r="D36" s="54"/>
      <c r="E36" s="54"/>
      <c r="F36" s="54"/>
      <c r="G36" s="54"/>
      <c r="H36" s="54"/>
      <c r="I36" s="54"/>
      <c r="J36" s="54"/>
    </row>
    <row r="37" customFormat="false" ht="15" hidden="false" customHeight="true" outlineLevel="0" collapsed="false">
      <c r="A37" s="54" t="s">
        <v>405</v>
      </c>
      <c r="B37" s="54"/>
      <c r="C37" s="54"/>
      <c r="D37" s="54"/>
      <c r="E37" s="54"/>
      <c r="F37" s="54"/>
      <c r="G37" s="54"/>
      <c r="H37" s="54"/>
      <c r="I37" s="54"/>
      <c r="J37" s="54"/>
    </row>
    <row r="38" customFormat="false" ht="15" hidden="false" customHeight="true" outlineLevel="0" collapsed="false">
      <c r="A38" s="54" t="s">
        <v>406</v>
      </c>
      <c r="B38" s="54"/>
      <c r="C38" s="54"/>
      <c r="D38" s="54"/>
      <c r="E38" s="54"/>
      <c r="F38" s="54"/>
      <c r="G38" s="54"/>
      <c r="H38" s="54"/>
      <c r="I38" s="54"/>
      <c r="J38" s="54"/>
    </row>
    <row r="39" customFormat="false" ht="15" hidden="false" customHeight="true" outlineLevel="0" collapsed="false">
      <c r="A39" s="54" t="s">
        <v>407</v>
      </c>
      <c r="B39" s="54"/>
      <c r="C39" s="54"/>
      <c r="D39" s="54"/>
      <c r="E39" s="54"/>
      <c r="F39" s="54"/>
      <c r="G39" s="54"/>
      <c r="H39" s="54"/>
      <c r="I39" s="54"/>
      <c r="J39" s="54"/>
    </row>
    <row r="40" customFormat="false" ht="15" hidden="false" customHeight="true" outlineLevel="0" collapsed="false">
      <c r="A40" s="54" t="s">
        <v>408</v>
      </c>
      <c r="B40" s="54"/>
      <c r="C40" s="54"/>
      <c r="D40" s="54"/>
      <c r="E40" s="54"/>
      <c r="F40" s="54"/>
      <c r="G40" s="54"/>
      <c r="H40" s="54"/>
      <c r="I40" s="54"/>
      <c r="J40" s="54"/>
    </row>
    <row r="41" customFormat="false" ht="15" hidden="false" customHeight="true" outlineLevel="0" collapsed="false">
      <c r="A41" s="54" t="s">
        <v>409</v>
      </c>
      <c r="B41" s="54"/>
      <c r="C41" s="54"/>
      <c r="D41" s="54"/>
      <c r="E41" s="54"/>
      <c r="F41" s="54"/>
      <c r="G41" s="54"/>
      <c r="H41" s="54"/>
      <c r="I41" s="54"/>
      <c r="J41" s="54"/>
    </row>
    <row r="42" customFormat="false" ht="15" hidden="false" customHeight="true" outlineLevel="0" collapsed="false">
      <c r="A42" s="54" t="s">
        <v>410</v>
      </c>
      <c r="B42" s="54"/>
      <c r="C42" s="54"/>
      <c r="D42" s="54"/>
      <c r="E42" s="54"/>
      <c r="F42" s="54"/>
      <c r="G42" s="54"/>
      <c r="H42" s="54"/>
      <c r="I42" s="54"/>
      <c r="J42" s="54"/>
    </row>
    <row r="43" customFormat="false" ht="15" hidden="false" customHeight="true" outlineLevel="0" collapsed="false">
      <c r="A43" s="54" t="s">
        <v>411</v>
      </c>
      <c r="B43" s="54"/>
      <c r="C43" s="54"/>
      <c r="D43" s="54"/>
      <c r="E43" s="54"/>
      <c r="F43" s="54"/>
      <c r="G43" s="54"/>
      <c r="H43" s="54"/>
      <c r="I43" s="54"/>
      <c r="J43" s="54"/>
    </row>
    <row r="46" customFormat="false" ht="17.25" hidden="false" customHeight="true" outlineLevel="0" collapsed="false">
      <c r="A46" s="13" t="s">
        <v>412</v>
      </c>
      <c r="B46" s="13"/>
      <c r="C46" s="13"/>
      <c r="D46" s="13"/>
      <c r="E46" s="13"/>
      <c r="F46" s="13"/>
      <c r="G46" s="13"/>
      <c r="H46" s="13"/>
      <c r="I46" s="13"/>
      <c r="J46" s="13"/>
      <c r="K46" s="13"/>
      <c r="L46" s="13"/>
    </row>
    <row r="47" customFormat="false" ht="15" hidden="false" customHeight="true" outlineLevel="0" collapsed="false">
      <c r="A47" s="54" t="s">
        <v>413</v>
      </c>
      <c r="B47" s="54"/>
      <c r="C47" s="54"/>
      <c r="D47" s="54"/>
      <c r="E47" s="54"/>
      <c r="F47" s="54"/>
      <c r="G47" s="54"/>
      <c r="H47" s="54"/>
      <c r="I47" s="54"/>
      <c r="J47" s="54"/>
      <c r="K47" s="54"/>
      <c r="L47" s="54"/>
    </row>
    <row r="48" customFormat="false" ht="15" hidden="false" customHeight="true" outlineLevel="0" collapsed="false">
      <c r="A48" s="54" t="s">
        <v>414</v>
      </c>
      <c r="B48" s="54"/>
      <c r="C48" s="54"/>
      <c r="D48" s="54"/>
      <c r="E48" s="54"/>
      <c r="F48" s="54"/>
      <c r="G48" s="54"/>
      <c r="H48" s="54"/>
      <c r="I48" s="54"/>
      <c r="J48" s="54"/>
      <c r="K48" s="54"/>
      <c r="L48" s="54"/>
    </row>
    <row r="49" customFormat="false" ht="15" hidden="false" customHeight="true" outlineLevel="0" collapsed="false">
      <c r="A49" s="54" t="s">
        <v>415</v>
      </c>
      <c r="B49" s="54"/>
      <c r="C49" s="54"/>
      <c r="D49" s="54"/>
      <c r="E49" s="54"/>
      <c r="F49" s="54"/>
      <c r="G49" s="54"/>
      <c r="H49" s="54"/>
      <c r="I49" s="54"/>
      <c r="J49" s="54"/>
      <c r="K49" s="54"/>
      <c r="L49" s="54"/>
    </row>
    <row r="50" customFormat="false" ht="15" hidden="false" customHeight="true" outlineLevel="0" collapsed="false">
      <c r="A50" s="54" t="s">
        <v>416</v>
      </c>
      <c r="B50" s="54"/>
      <c r="C50" s="54"/>
      <c r="D50" s="54"/>
      <c r="E50" s="54"/>
      <c r="F50" s="54"/>
      <c r="G50" s="54"/>
      <c r="H50" s="54"/>
      <c r="I50" s="54"/>
      <c r="J50" s="54"/>
      <c r="K50" s="54"/>
      <c r="L50" s="54"/>
    </row>
    <row r="51" customFormat="false" ht="15" hidden="false" customHeight="true" outlineLevel="0" collapsed="false">
      <c r="A51" s="54" t="s">
        <v>417</v>
      </c>
      <c r="B51" s="54"/>
      <c r="C51" s="54"/>
      <c r="D51" s="54"/>
      <c r="E51" s="54"/>
      <c r="F51" s="54"/>
      <c r="G51" s="54"/>
      <c r="H51" s="54"/>
      <c r="I51" s="54"/>
      <c r="J51" s="54"/>
      <c r="K51" s="54"/>
      <c r="L51" s="54"/>
    </row>
    <row r="52" customFormat="false" ht="15" hidden="false" customHeight="true" outlineLevel="0" collapsed="false">
      <c r="A52" s="54" t="s">
        <v>418</v>
      </c>
      <c r="B52" s="54"/>
      <c r="C52" s="54"/>
      <c r="D52" s="54"/>
      <c r="E52" s="54"/>
      <c r="F52" s="54"/>
      <c r="G52" s="54"/>
      <c r="H52" s="54"/>
      <c r="I52" s="54"/>
      <c r="J52" s="54"/>
      <c r="K52" s="54"/>
      <c r="L52" s="54"/>
    </row>
    <row r="53" customFormat="false" ht="15" hidden="false" customHeight="true" outlineLevel="0" collapsed="false">
      <c r="A53" s="54" t="s">
        <v>419</v>
      </c>
      <c r="B53" s="54"/>
      <c r="C53" s="54"/>
      <c r="D53" s="54"/>
      <c r="E53" s="54"/>
      <c r="F53" s="54"/>
      <c r="G53" s="54"/>
      <c r="H53" s="54"/>
      <c r="I53" s="54"/>
      <c r="J53" s="54"/>
      <c r="K53" s="54"/>
      <c r="L53" s="54"/>
    </row>
    <row r="55" customFormat="false" ht="15" hidden="false" customHeight="true" outlineLevel="0" collapsed="false">
      <c r="A55" s="55" t="s">
        <v>420</v>
      </c>
      <c r="B55" s="55"/>
      <c r="C55" s="55"/>
      <c r="D55" s="55"/>
      <c r="E55" s="55"/>
      <c r="F55" s="55"/>
      <c r="G55" s="55"/>
      <c r="H55" s="55"/>
      <c r="I55" s="55"/>
      <c r="J55" s="55"/>
      <c r="K55" s="55"/>
      <c r="L55" s="55"/>
    </row>
  </sheetData>
  <mergeCells count="30">
    <mergeCell ref="A1:N1"/>
    <mergeCell ref="A2:N2"/>
    <mergeCell ref="A4:B4"/>
    <mergeCell ref="D4:E4"/>
    <mergeCell ref="G4:H4"/>
    <mergeCell ref="J4:K4"/>
    <mergeCell ref="A5:B5"/>
    <mergeCell ref="D5:E5"/>
    <mergeCell ref="G5:H5"/>
    <mergeCell ref="J5:K5"/>
    <mergeCell ref="A9:F9"/>
    <mergeCell ref="F15:I15"/>
    <mergeCell ref="A35:L35"/>
    <mergeCell ref="A36:J36"/>
    <mergeCell ref="A37:J37"/>
    <mergeCell ref="A38:J38"/>
    <mergeCell ref="A39:J39"/>
    <mergeCell ref="A40:J40"/>
    <mergeCell ref="A41:J41"/>
    <mergeCell ref="A42:J42"/>
    <mergeCell ref="A43:J43"/>
    <mergeCell ref="A46:L46"/>
    <mergeCell ref="A47:L47"/>
    <mergeCell ref="A48:L48"/>
    <mergeCell ref="A49:L49"/>
    <mergeCell ref="A50:L50"/>
    <mergeCell ref="A51:L51"/>
    <mergeCell ref="A52:L52"/>
    <mergeCell ref="A53:L53"/>
    <mergeCell ref="A55:L55"/>
  </mergeCells>
  <conditionalFormatting sqref="C17:C21">
    <cfRule type="colorScale" priority="2">
      <colorScale>
        <cfvo type="min" val="0"/>
        <cfvo type="percentile" val="50"/>
        <cfvo type="max" val="0"/>
        <color rgb="FFF1948A"/>
        <color rgb="FFF9E79F"/>
        <color rgb="FF82E0AA"/>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0"/>
    <col collapsed="false" customWidth="true" hidden="false" outlineLevel="0" max="7" min="2" style="1" width="12"/>
  </cols>
  <sheetData>
    <row r="1" customFormat="false" ht="19.5" hidden="false" customHeight="true" outlineLevel="0" collapsed="false">
      <c r="A1" s="12" t="s">
        <v>421</v>
      </c>
      <c r="B1" s="12"/>
      <c r="C1" s="12"/>
      <c r="D1" s="12"/>
      <c r="E1" s="12"/>
      <c r="F1" s="12"/>
      <c r="G1" s="12"/>
    </row>
    <row r="3" customFormat="false" ht="17.25" hidden="false" customHeight="true" outlineLevel="0" collapsed="false">
      <c r="A3" s="34" t="s">
        <v>422</v>
      </c>
    </row>
    <row r="4" customFormat="false" ht="15" hidden="false" customHeight="true" outlineLevel="0" collapsed="false">
      <c r="A4" s="56" t="s">
        <v>423</v>
      </c>
      <c r="B4" s="56"/>
      <c r="C4" s="56"/>
      <c r="D4" s="56"/>
      <c r="E4" s="56"/>
      <c r="F4" s="56"/>
      <c r="G4" s="56"/>
    </row>
    <row r="5" customFormat="false" ht="15" hidden="false" customHeight="true" outlineLevel="0" collapsed="false">
      <c r="A5" s="56"/>
      <c r="B5" s="56"/>
      <c r="C5" s="56"/>
      <c r="D5" s="56"/>
      <c r="E5" s="56"/>
      <c r="F5" s="56"/>
      <c r="G5" s="56"/>
    </row>
    <row r="6" customFormat="false" ht="15" hidden="false" customHeight="true" outlineLevel="0" collapsed="false">
      <c r="A6" s="56"/>
      <c r="B6" s="56"/>
      <c r="C6" s="56"/>
      <c r="D6" s="56"/>
      <c r="E6" s="56"/>
      <c r="F6" s="56"/>
      <c r="G6" s="56"/>
    </row>
    <row r="8" customFormat="false" ht="17.25" hidden="false" customHeight="true" outlineLevel="0" collapsed="false">
      <c r="A8" s="34" t="s">
        <v>424</v>
      </c>
    </row>
    <row r="9" customFormat="false" ht="34.5" hidden="false" customHeight="true" outlineLevel="0" collapsed="false">
      <c r="A9" s="57" t="s">
        <v>425</v>
      </c>
      <c r="B9" s="57"/>
      <c r="C9" s="57"/>
      <c r="D9" s="57"/>
      <c r="E9" s="57"/>
      <c r="F9" s="57"/>
      <c r="G9" s="57"/>
    </row>
    <row r="10" customFormat="false" ht="34.5" hidden="false" customHeight="true" outlineLevel="0" collapsed="false">
      <c r="A10" s="57" t="s">
        <v>426</v>
      </c>
      <c r="B10" s="57"/>
      <c r="C10" s="57"/>
      <c r="D10" s="57"/>
      <c r="E10" s="57"/>
      <c r="F10" s="57"/>
      <c r="G10" s="57"/>
    </row>
    <row r="11" customFormat="false" ht="34.5" hidden="false" customHeight="true" outlineLevel="0" collapsed="false">
      <c r="A11" s="57" t="s">
        <v>427</v>
      </c>
      <c r="B11" s="57"/>
      <c r="C11" s="57"/>
      <c r="D11" s="57"/>
      <c r="E11" s="57"/>
      <c r="F11" s="57"/>
      <c r="G11" s="57"/>
    </row>
    <row r="12" customFormat="false" ht="34.5" hidden="false" customHeight="true" outlineLevel="0" collapsed="false">
      <c r="A12" s="57" t="s">
        <v>428</v>
      </c>
      <c r="B12" s="57"/>
      <c r="C12" s="57"/>
      <c r="D12" s="57"/>
      <c r="E12" s="57"/>
      <c r="F12" s="57"/>
      <c r="G12" s="57"/>
    </row>
    <row r="13" customFormat="false" ht="34.5" hidden="false" customHeight="true" outlineLevel="0" collapsed="false">
      <c r="A13" s="57" t="s">
        <v>429</v>
      </c>
      <c r="B13" s="57"/>
      <c r="C13" s="57"/>
      <c r="D13" s="57"/>
      <c r="E13" s="57"/>
      <c r="F13" s="57"/>
      <c r="G13" s="57"/>
    </row>
    <row r="14" customFormat="false" ht="34.5" hidden="false" customHeight="true" outlineLevel="0" collapsed="false">
      <c r="A14" s="57" t="s">
        <v>430</v>
      </c>
      <c r="B14" s="57"/>
      <c r="C14" s="57"/>
      <c r="D14" s="57"/>
      <c r="E14" s="57"/>
      <c r="F14" s="57"/>
      <c r="G14" s="57"/>
    </row>
    <row r="16" customFormat="false" ht="17.25" hidden="false" customHeight="true" outlineLevel="0" collapsed="false">
      <c r="A16" s="34" t="s">
        <v>431</v>
      </c>
    </row>
    <row r="17" customFormat="false" ht="15" hidden="false" customHeight="true" outlineLevel="0" collapsed="false">
      <c r="A17" s="54" t="s">
        <v>432</v>
      </c>
      <c r="B17" s="54"/>
      <c r="C17" s="54"/>
      <c r="D17" s="54"/>
      <c r="E17" s="54"/>
      <c r="F17" s="54"/>
      <c r="G17" s="54"/>
    </row>
    <row r="18" customFormat="false" ht="15" hidden="false" customHeight="true" outlineLevel="0" collapsed="false">
      <c r="A18" s="54" t="s">
        <v>433</v>
      </c>
      <c r="B18" s="54"/>
      <c r="C18" s="54"/>
      <c r="D18" s="54"/>
      <c r="E18" s="54"/>
      <c r="F18" s="54"/>
      <c r="G18" s="54"/>
    </row>
    <row r="19" customFormat="false" ht="15" hidden="false" customHeight="true" outlineLevel="0" collapsed="false">
      <c r="A19" s="54" t="s">
        <v>434</v>
      </c>
      <c r="B19" s="54"/>
      <c r="C19" s="54"/>
      <c r="D19" s="54"/>
      <c r="E19" s="54"/>
      <c r="F19" s="54"/>
      <c r="G19" s="54"/>
    </row>
    <row r="20" customFormat="false" ht="15" hidden="false" customHeight="true" outlineLevel="0" collapsed="false">
      <c r="A20" s="54" t="s">
        <v>435</v>
      </c>
      <c r="B20" s="54"/>
      <c r="C20" s="54"/>
      <c r="D20" s="54"/>
      <c r="E20" s="54"/>
      <c r="F20" s="54"/>
      <c r="G20" s="54"/>
    </row>
    <row r="21" customFormat="false" ht="15" hidden="false" customHeight="true" outlineLevel="0" collapsed="false">
      <c r="A21" s="54" t="s">
        <v>436</v>
      </c>
      <c r="B21" s="54"/>
      <c r="C21" s="54"/>
      <c r="D21" s="54"/>
      <c r="E21" s="54"/>
      <c r="F21" s="54"/>
      <c r="G21" s="54"/>
    </row>
    <row r="22" customFormat="false" ht="15" hidden="false" customHeight="true" outlineLevel="0" collapsed="false">
      <c r="A22" s="54" t="s">
        <v>437</v>
      </c>
      <c r="B22" s="54"/>
      <c r="C22" s="54"/>
      <c r="D22" s="54"/>
      <c r="E22" s="54"/>
      <c r="F22" s="54"/>
      <c r="G22" s="54"/>
    </row>
    <row r="23" customFormat="false" ht="15" hidden="false" customHeight="true" outlineLevel="0" collapsed="false">
      <c r="A23" s="54" t="s">
        <v>438</v>
      </c>
      <c r="B23" s="54"/>
      <c r="C23" s="54"/>
      <c r="D23" s="54"/>
      <c r="E23" s="54"/>
      <c r="F23" s="54"/>
      <c r="G23" s="54"/>
    </row>
    <row r="24" customFormat="false" ht="15" hidden="false" customHeight="true" outlineLevel="0" collapsed="false">
      <c r="A24" s="54" t="s">
        <v>439</v>
      </c>
      <c r="B24" s="54"/>
      <c r="C24" s="54"/>
      <c r="D24" s="54"/>
      <c r="E24" s="54"/>
      <c r="F24" s="54"/>
      <c r="G24" s="54"/>
    </row>
    <row r="25" customFormat="false" ht="15" hidden="false" customHeight="true" outlineLevel="0" collapsed="false">
      <c r="A25" s="54" t="s">
        <v>440</v>
      </c>
      <c r="B25" s="54"/>
      <c r="C25" s="54"/>
      <c r="D25" s="54"/>
      <c r="E25" s="54"/>
      <c r="F25" s="54"/>
      <c r="G25" s="54"/>
    </row>
    <row r="26" customFormat="false" ht="15" hidden="false" customHeight="true" outlineLevel="0" collapsed="false">
      <c r="A26" s="54" t="s">
        <v>441</v>
      </c>
      <c r="B26" s="54"/>
      <c r="C26" s="54"/>
      <c r="D26" s="54"/>
      <c r="E26" s="54"/>
      <c r="F26" s="54"/>
      <c r="G26" s="54"/>
    </row>
    <row r="27" customFormat="false" ht="15" hidden="false" customHeight="true" outlineLevel="0" collapsed="false">
      <c r="A27" s="54" t="s">
        <v>442</v>
      </c>
      <c r="B27" s="54"/>
      <c r="C27" s="54"/>
      <c r="D27" s="54"/>
      <c r="E27" s="54"/>
      <c r="F27" s="54"/>
      <c r="G27" s="54"/>
    </row>
    <row r="30" customFormat="false" ht="17.25" hidden="false" customHeight="true" outlineLevel="0" collapsed="false">
      <c r="A30" s="34" t="s">
        <v>443</v>
      </c>
    </row>
    <row r="31" customFormat="false" ht="15" hidden="false" customHeight="true" outlineLevel="0" collapsed="false">
      <c r="A31" s="57" t="s">
        <v>444</v>
      </c>
      <c r="B31" s="57"/>
      <c r="C31" s="57"/>
      <c r="D31" s="57"/>
      <c r="E31" s="57"/>
      <c r="F31" s="57"/>
      <c r="G31" s="57"/>
    </row>
    <row r="32" customFormat="false" ht="15" hidden="false" customHeight="true" outlineLevel="0" collapsed="false">
      <c r="A32" s="57"/>
      <c r="B32" s="57"/>
      <c r="C32" s="57"/>
      <c r="D32" s="57"/>
      <c r="E32" s="57"/>
      <c r="F32" s="57"/>
      <c r="G32" s="57"/>
    </row>
    <row r="34" customFormat="false" ht="15" hidden="false" customHeight="true" outlineLevel="0" collapsed="false">
      <c r="A34" s="46" t="s">
        <v>445</v>
      </c>
    </row>
  </sheetData>
  <mergeCells count="20">
    <mergeCell ref="A1:G1"/>
    <mergeCell ref="A4:G6"/>
    <mergeCell ref="A9:G9"/>
    <mergeCell ref="A10:G10"/>
    <mergeCell ref="A11:G11"/>
    <mergeCell ref="A12:G12"/>
    <mergeCell ref="A13:G13"/>
    <mergeCell ref="A14:G14"/>
    <mergeCell ref="A17:G17"/>
    <mergeCell ref="A18:G18"/>
    <mergeCell ref="A19:G19"/>
    <mergeCell ref="A20:G20"/>
    <mergeCell ref="A21:G21"/>
    <mergeCell ref="A22:G22"/>
    <mergeCell ref="A23:G23"/>
    <mergeCell ref="A24:G24"/>
    <mergeCell ref="A25:G25"/>
    <mergeCell ref="A26:G26"/>
    <mergeCell ref="A27:G27"/>
    <mergeCell ref="A31:G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5"/>
    <col collapsed="false" customWidth="true" hidden="false" outlineLevel="0" max="2" min="2" style="1" width="12"/>
    <col collapsed="false" customWidth="true" hidden="false" outlineLevel="0" max="3" min="3" style="1" width="45"/>
  </cols>
  <sheetData>
    <row r="1" customFormat="false" ht="19.5" hidden="false" customHeight="true" outlineLevel="0" collapsed="false">
      <c r="A1" s="12" t="s">
        <v>446</v>
      </c>
      <c r="B1" s="12"/>
      <c r="C1" s="12"/>
    </row>
    <row r="3" customFormat="false" ht="15" hidden="false" customHeight="true" outlineLevel="0" collapsed="false">
      <c r="A3" s="25" t="s">
        <v>447</v>
      </c>
      <c r="B3" s="25" t="s">
        <v>400</v>
      </c>
      <c r="C3" s="25" t="s">
        <v>448</v>
      </c>
    </row>
    <row r="4" customFormat="false" ht="15" hidden="false" customHeight="true" outlineLevel="0" collapsed="false">
      <c r="A4" s="21" t="s">
        <v>449</v>
      </c>
      <c r="B4" s="58" t="s">
        <v>450</v>
      </c>
      <c r="C4" s="59" t="s">
        <v>451</v>
      </c>
    </row>
    <row r="5" customFormat="false" ht="15" hidden="false" customHeight="true" outlineLevel="0" collapsed="false">
      <c r="A5" s="21" t="s">
        <v>452</v>
      </c>
      <c r="B5" s="58" t="s">
        <v>450</v>
      </c>
      <c r="C5" s="59" t="s">
        <v>453</v>
      </c>
    </row>
    <row r="6" customFormat="false" ht="15" hidden="false" customHeight="true" outlineLevel="0" collapsed="false">
      <c r="A6" s="21" t="s">
        <v>454</v>
      </c>
      <c r="B6" s="58" t="s">
        <v>450</v>
      </c>
      <c r="C6" s="59" t="s">
        <v>455</v>
      </c>
    </row>
    <row r="7" customFormat="false" ht="15" hidden="false" customHeight="true" outlineLevel="0" collapsed="false">
      <c r="A7" s="21" t="s">
        <v>456</v>
      </c>
      <c r="B7" s="58" t="s">
        <v>450</v>
      </c>
      <c r="C7" s="59" t="s">
        <v>457</v>
      </c>
    </row>
    <row r="8" customFormat="false" ht="15" hidden="false" customHeight="true" outlineLevel="0" collapsed="false">
      <c r="A8" s="21" t="s">
        <v>458</v>
      </c>
      <c r="B8" s="58" t="s">
        <v>450</v>
      </c>
      <c r="C8" s="59" t="s">
        <v>459</v>
      </c>
    </row>
    <row r="9" customFormat="false" ht="15" hidden="false" customHeight="true" outlineLevel="0" collapsed="false">
      <c r="A9" s="21" t="s">
        <v>460</v>
      </c>
      <c r="B9" s="58" t="s">
        <v>461</v>
      </c>
      <c r="C9" s="59" t="s">
        <v>462</v>
      </c>
    </row>
    <row r="10" customFormat="false" ht="15" hidden="false" customHeight="true" outlineLevel="0" collapsed="false">
      <c r="A10" s="21" t="s">
        <v>463</v>
      </c>
      <c r="B10" s="58" t="s">
        <v>450</v>
      </c>
      <c r="C10" s="59" t="s">
        <v>464</v>
      </c>
    </row>
    <row r="11" customFormat="false" ht="15" hidden="false" customHeight="true" outlineLevel="0" collapsed="false">
      <c r="A11" s="21" t="s">
        <v>465</v>
      </c>
      <c r="B11" s="58" t="s">
        <v>450</v>
      </c>
      <c r="C11" s="59" t="s">
        <v>466</v>
      </c>
    </row>
    <row r="12" customFormat="false" ht="15" hidden="false" customHeight="true" outlineLevel="0" collapsed="false">
      <c r="A12" s="21" t="s">
        <v>467</v>
      </c>
      <c r="B12" s="58" t="s">
        <v>450</v>
      </c>
      <c r="C12" s="59" t="s">
        <v>468</v>
      </c>
    </row>
    <row r="13" customFormat="false" ht="15" hidden="false" customHeight="true" outlineLevel="0" collapsed="false">
      <c r="A13" s="21" t="s">
        <v>469</v>
      </c>
      <c r="B13" s="58" t="s">
        <v>450</v>
      </c>
      <c r="C13" s="59" t="s">
        <v>470</v>
      </c>
    </row>
    <row r="14" customFormat="false" ht="15" hidden="false" customHeight="true" outlineLevel="0" collapsed="false">
      <c r="A14" s="21" t="s">
        <v>471</v>
      </c>
      <c r="B14" s="58" t="s">
        <v>450</v>
      </c>
      <c r="C14" s="59" t="s">
        <v>472</v>
      </c>
    </row>
    <row r="15" customFormat="false" ht="15" hidden="false" customHeight="true" outlineLevel="0" collapsed="false">
      <c r="A15" s="21" t="s">
        <v>473</v>
      </c>
      <c r="B15" s="58" t="s">
        <v>450</v>
      </c>
      <c r="C15" s="59" t="s">
        <v>474</v>
      </c>
    </row>
    <row r="16" customFormat="false" ht="15" hidden="false" customHeight="true" outlineLevel="0" collapsed="false">
      <c r="A16" s="21" t="s">
        <v>475</v>
      </c>
      <c r="B16" s="58" t="s">
        <v>450</v>
      </c>
      <c r="C16" s="59" t="s">
        <v>476</v>
      </c>
    </row>
    <row r="17" customFormat="false" ht="15" hidden="false" customHeight="true" outlineLevel="0" collapsed="false">
      <c r="A17" s="21" t="s">
        <v>477</v>
      </c>
      <c r="B17" s="58" t="s">
        <v>450</v>
      </c>
      <c r="C17" s="59" t="s">
        <v>478</v>
      </c>
    </row>
    <row r="18" customFormat="false" ht="15" hidden="false" customHeight="true" outlineLevel="0" collapsed="false">
      <c r="A18" s="21" t="s">
        <v>479</v>
      </c>
      <c r="B18" s="58" t="s">
        <v>450</v>
      </c>
      <c r="C18" s="59" t="s">
        <v>480</v>
      </c>
    </row>
    <row r="19" customFormat="false" ht="15" hidden="false" customHeight="true" outlineLevel="0" collapsed="false">
      <c r="A19" s="21" t="s">
        <v>481</v>
      </c>
      <c r="B19" s="58" t="s">
        <v>450</v>
      </c>
      <c r="C19" s="59" t="s">
        <v>482</v>
      </c>
    </row>
    <row r="20" customFormat="false" ht="15" hidden="false" customHeight="true" outlineLevel="0" collapsed="false">
      <c r="A20" s="21" t="s">
        <v>483</v>
      </c>
      <c r="B20" s="58" t="s">
        <v>450</v>
      </c>
      <c r="C20" s="59" t="s">
        <v>484</v>
      </c>
    </row>
    <row r="21" customFormat="false" ht="15" hidden="false" customHeight="true" outlineLevel="0" collapsed="false">
      <c r="A21" s="21" t="s">
        <v>485</v>
      </c>
      <c r="B21" s="58" t="s">
        <v>450</v>
      </c>
      <c r="C21" s="59" t="s">
        <v>486</v>
      </c>
    </row>
  </sheetData>
  <mergeCells count="1">
    <mergeCell ref="A1:C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2026-10-14T09:52:04Z</dcterms:created>
  <dc:creator>openpyxl</dc:creator>
  <dc:description/>
  <dc:language>en-US</dc:language>
  <cp:lastModifiedBy/>
  <dcterms:modified xsi:type="dcterms:W3CDTF">2026-10-14T09:52:38Z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